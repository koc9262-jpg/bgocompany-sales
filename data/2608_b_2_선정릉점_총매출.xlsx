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05" yWindow="-105" windowWidth="23250" windowHeight="12450" tabRatio="586"/>
  </bookViews>
  <sheets>
    <sheet name="매출" sheetId="1" r:id="rId1"/>
    <sheet name="매출순위" sheetId="2" r:id="rId2"/>
    <sheet name="페이롤" sheetId="3" r:id="rId3"/>
  </sheets>
  <definedNames>
    <definedName name="_xlnm._FilterDatabase" localSheetId="0" hidden="1">매출!$A$14:$W$515</definedName>
    <definedName name="_xlnm.Print_Area" localSheetId="1">매출순위!$A$1:$O$28</definedName>
    <definedName name="_xlnm.Print_Area" localSheetId="2">페이롤!$A$1:$O$74</definedName>
  </definedNames>
  <calcPr calcId="145621"/>
</workbook>
</file>

<file path=xl/calcChain.xml><?xml version="1.0" encoding="utf-8"?>
<calcChain xmlns="http://schemas.openxmlformats.org/spreadsheetml/2006/main">
  <c r="H72" i="3" l="1"/>
  <c r="I72" i="3" s="1"/>
  <c r="E72" i="3"/>
  <c r="D72" i="3"/>
  <c r="H71" i="3"/>
  <c r="I71" i="3" s="1"/>
  <c r="E71" i="3"/>
  <c r="D71" i="3" s="1"/>
  <c r="H70" i="3"/>
  <c r="I70" i="3" s="1"/>
  <c r="E70" i="3"/>
  <c r="D70" i="3" s="1"/>
  <c r="H69" i="3"/>
  <c r="I69" i="3" s="1"/>
  <c r="E69" i="3"/>
  <c r="D69" i="3" s="1"/>
  <c r="E68" i="3"/>
  <c r="D68" i="3" s="1"/>
  <c r="E67" i="3"/>
  <c r="D67" i="3" s="1"/>
  <c r="E66" i="3"/>
  <c r="D66" i="3" s="1"/>
  <c r="E65" i="3"/>
  <c r="D65" i="3" s="1"/>
  <c r="E64" i="3"/>
  <c r="D64" i="3" s="1"/>
  <c r="H63" i="3"/>
  <c r="I63" i="3" s="1"/>
  <c r="E63" i="3"/>
  <c r="D63" i="3" s="1"/>
  <c r="H62" i="3"/>
  <c r="I62" i="3" s="1"/>
  <c r="E62" i="3"/>
  <c r="D62" i="3" s="1"/>
  <c r="H61" i="3"/>
  <c r="I61" i="3" s="1"/>
  <c r="E61" i="3"/>
  <c r="D61" i="3" s="1"/>
  <c r="H60" i="3"/>
  <c r="I60" i="3" s="1"/>
  <c r="E60" i="3"/>
  <c r="D60" i="3" s="1"/>
  <c r="H59" i="3"/>
  <c r="I59" i="3" s="1"/>
  <c r="E59" i="3" s="1"/>
  <c r="D59" i="3" s="1"/>
  <c r="H58" i="3"/>
  <c r="I58" i="3" s="1"/>
  <c r="E58" i="3" s="1"/>
  <c r="D58" i="3" s="1"/>
  <c r="H57" i="3"/>
  <c r="I57" i="3" s="1"/>
  <c r="E57" i="3" s="1"/>
  <c r="D57" i="3" s="1"/>
  <c r="H56" i="3"/>
  <c r="I56" i="3" s="1"/>
  <c r="E56" i="3" s="1"/>
  <c r="D56" i="3" s="1"/>
  <c r="H55" i="3"/>
  <c r="I55" i="3" s="1"/>
  <c r="E55" i="3" s="1"/>
  <c r="D55" i="3" s="1"/>
  <c r="H54" i="3"/>
  <c r="I54" i="3" s="1"/>
  <c r="E54" i="3" s="1"/>
  <c r="D54" i="3" s="1"/>
  <c r="H53" i="3"/>
  <c r="I53" i="3" s="1"/>
  <c r="E53" i="3" s="1"/>
  <c r="D53" i="3" s="1"/>
  <c r="H52" i="3"/>
  <c r="I52" i="3" s="1"/>
  <c r="E52" i="3" s="1"/>
  <c r="D52" i="3" s="1"/>
  <c r="H51" i="3"/>
  <c r="I51" i="3" s="1"/>
  <c r="E51" i="3" s="1"/>
  <c r="D51" i="3" s="1"/>
  <c r="H50" i="3"/>
  <c r="I50" i="3" s="1"/>
  <c r="E50" i="3" s="1"/>
  <c r="D50" i="3" s="1"/>
  <c r="H49" i="3"/>
  <c r="I49" i="3" s="1"/>
  <c r="E49" i="3" s="1"/>
  <c r="D49" i="3" s="1"/>
  <c r="H48" i="3"/>
  <c r="I48" i="3" s="1"/>
  <c r="E48" i="3" s="1"/>
  <c r="D48" i="3" s="1"/>
  <c r="H47" i="3"/>
  <c r="I47" i="3" s="1"/>
  <c r="E47" i="3" s="1"/>
  <c r="D47" i="3" s="1"/>
  <c r="H46" i="3"/>
  <c r="I46" i="3" s="1"/>
  <c r="E46" i="3" s="1"/>
  <c r="D46" i="3" s="1"/>
  <c r="H45" i="3"/>
  <c r="I45" i="3" s="1"/>
  <c r="E45" i="3" s="1"/>
  <c r="D45" i="3" s="1"/>
  <c r="H44" i="3"/>
  <c r="I44" i="3" s="1"/>
  <c r="E44" i="3" s="1"/>
  <c r="D44" i="3" s="1"/>
  <c r="H43" i="3"/>
  <c r="I43" i="3" s="1"/>
  <c r="E43" i="3" s="1"/>
  <c r="D43" i="3" s="1"/>
  <c r="H42" i="3"/>
  <c r="I42" i="3" s="1"/>
  <c r="E42" i="3" s="1"/>
  <c r="D42" i="3" s="1"/>
  <c r="H41" i="3"/>
  <c r="I41" i="3" s="1"/>
  <c r="E41" i="3" s="1"/>
  <c r="D41" i="3" s="1"/>
  <c r="H40" i="3"/>
  <c r="I40" i="3" s="1"/>
  <c r="E40" i="3" s="1"/>
  <c r="D40" i="3" s="1"/>
  <c r="E39" i="3"/>
  <c r="D39" i="3" s="1"/>
  <c r="E38" i="3"/>
  <c r="D38" i="3" s="1"/>
  <c r="E34" i="3"/>
  <c r="D34" i="3" s="1"/>
  <c r="E33" i="3"/>
  <c r="D33" i="3" s="1"/>
  <c r="E32" i="3"/>
  <c r="D32" i="3" s="1"/>
  <c r="E31" i="3"/>
  <c r="D31" i="3" s="1"/>
  <c r="E30" i="3"/>
  <c r="D30" i="3" s="1"/>
  <c r="E29" i="3"/>
  <c r="D29" i="3" s="1"/>
  <c r="E28" i="3"/>
  <c r="D28" i="3" s="1"/>
  <c r="E27" i="3"/>
  <c r="D27" i="3"/>
  <c r="E26" i="3"/>
  <c r="D26" i="3"/>
  <c r="E25" i="3"/>
  <c r="D25" i="3"/>
  <c r="E24" i="3"/>
  <c r="D24" i="3"/>
  <c r="E23" i="3"/>
  <c r="D23" i="3"/>
  <c r="E22" i="3"/>
  <c r="D22" i="3"/>
  <c r="E21" i="3"/>
  <c r="D21" i="3"/>
  <c r="E20" i="3"/>
  <c r="D20" i="3"/>
  <c r="H19" i="3"/>
  <c r="G19" i="3"/>
  <c r="H18" i="3"/>
  <c r="G18" i="3"/>
  <c r="H17" i="3"/>
  <c r="G17" i="3"/>
  <c r="H16" i="3"/>
  <c r="G16" i="3"/>
  <c r="H15" i="3"/>
  <c r="G15" i="3"/>
  <c r="H14" i="3"/>
  <c r="G14" i="3"/>
  <c r="H13" i="3"/>
  <c r="G13" i="3"/>
  <c r="H12" i="3"/>
  <c r="G12" i="3"/>
  <c r="H11" i="3"/>
  <c r="G11" i="3"/>
  <c r="H10" i="3"/>
  <c r="G10" i="3"/>
  <c r="H9" i="3"/>
  <c r="G9" i="3"/>
  <c r="H8" i="3"/>
  <c r="G8" i="3"/>
  <c r="H7" i="3"/>
  <c r="G7" i="3"/>
  <c r="H6" i="3"/>
  <c r="G6" i="3"/>
  <c r="N1" i="3"/>
  <c r="G1" i="3"/>
  <c r="F24" i="2"/>
  <c r="E24" i="2"/>
  <c r="F23" i="2"/>
  <c r="E23" i="2"/>
  <c r="F22" i="2"/>
  <c r="E22" i="2"/>
  <c r="F21" i="2"/>
  <c r="E21" i="2"/>
  <c r="F20" i="2"/>
  <c r="E20" i="2"/>
  <c r="F19" i="2"/>
  <c r="E19" i="2"/>
  <c r="F18" i="2"/>
  <c r="E18" i="2"/>
  <c r="F17" i="2"/>
  <c r="E17" i="2"/>
  <c r="F16" i="2"/>
  <c r="E16" i="2"/>
  <c r="F15" i="2"/>
  <c r="E15" i="2"/>
  <c r="N14" i="2"/>
  <c r="L14" i="2"/>
  <c r="M14" i="2" s="1"/>
  <c r="F14" i="2"/>
  <c r="E14" i="2"/>
  <c r="N13" i="2"/>
  <c r="L13" i="2"/>
  <c r="M13" i="2" s="1"/>
  <c r="F13" i="2"/>
  <c r="E13" i="2"/>
  <c r="N12" i="2"/>
  <c r="L12" i="2"/>
  <c r="M12" i="2" s="1"/>
  <c r="F12" i="2"/>
  <c r="E12" i="2"/>
  <c r="N11" i="2"/>
  <c r="L11" i="2"/>
  <c r="M11" i="2" s="1"/>
  <c r="F11" i="2"/>
  <c r="E11" i="2"/>
  <c r="N10" i="2"/>
  <c r="L10" i="2"/>
  <c r="M10" i="2" s="1"/>
  <c r="F10" i="2"/>
  <c r="E10" i="2"/>
  <c r="N9" i="2"/>
  <c r="L9" i="2"/>
  <c r="M9" i="2" s="1"/>
  <c r="F9" i="2"/>
  <c r="E9" i="2"/>
  <c r="N8" i="2"/>
  <c r="L8" i="2"/>
  <c r="M8" i="2" s="1"/>
  <c r="F8" i="2"/>
  <c r="E8" i="2"/>
  <c r="N7" i="2"/>
  <c r="L7" i="2"/>
  <c r="M7" i="2" s="1"/>
  <c r="F7" i="2"/>
  <c r="E7" i="2"/>
  <c r="N6" i="2"/>
  <c r="L6" i="2"/>
  <c r="F6" i="2"/>
  <c r="E6" i="2"/>
  <c r="N5" i="2"/>
  <c r="K5" i="2"/>
  <c r="F5" i="2"/>
  <c r="E5" i="2"/>
  <c r="N4" i="2"/>
  <c r="K4" i="2"/>
  <c r="F4" i="2"/>
  <c r="E4" i="2"/>
  <c r="U515" i="1"/>
  <c r="T515" i="1"/>
  <c r="S515" i="1"/>
  <c r="R515" i="1"/>
  <c r="Q515" i="1"/>
  <c r="P515" i="1"/>
  <c r="O515" i="1"/>
  <c r="N515" i="1"/>
  <c r="M515" i="1"/>
  <c r="L515" i="1"/>
  <c r="K515" i="1"/>
  <c r="J515" i="1"/>
  <c r="I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4" i="1"/>
  <c r="A143" i="1"/>
  <c r="A142" i="1"/>
  <c r="A141" i="1"/>
  <c r="A140" i="1"/>
  <c r="A139" i="1"/>
  <c r="A138" i="1"/>
  <c r="A137" i="1"/>
  <c r="A136" i="1"/>
  <c r="A135" i="1"/>
  <c r="A134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8" i="1"/>
  <c r="A17" i="1"/>
  <c r="A16" i="1"/>
  <c r="A15" i="1"/>
  <c r="S11" i="1"/>
  <c r="K11" i="1"/>
  <c r="G11" i="1"/>
  <c r="E4" i="1" s="1"/>
  <c r="E5" i="1" s="1"/>
  <c r="D11" i="1"/>
  <c r="A11" i="1"/>
  <c r="W8" i="1"/>
  <c r="U8" i="1"/>
  <c r="T8" i="1"/>
  <c r="S8" i="1"/>
  <c r="R8" i="1"/>
  <c r="O8" i="1"/>
  <c r="N8" i="1"/>
  <c r="M8" i="1"/>
  <c r="L8" i="1"/>
  <c r="K8" i="1"/>
  <c r="R5" i="1"/>
  <c r="P5" i="1"/>
  <c r="N5" i="1"/>
  <c r="L5" i="1"/>
  <c r="J5" i="1"/>
  <c r="G3" i="1"/>
  <c r="I10" i="3" l="1"/>
  <c r="E10" i="3" s="1"/>
  <c r="D10" i="3" s="1"/>
  <c r="I18" i="3"/>
  <c r="E18" i="3" s="1"/>
  <c r="D18" i="3" s="1"/>
  <c r="I7" i="3"/>
  <c r="E7" i="3" s="1"/>
  <c r="D7" i="3" s="1"/>
  <c r="I8" i="3"/>
  <c r="E8" i="3" s="1"/>
  <c r="D8" i="3" s="1"/>
  <c r="I12" i="3"/>
  <c r="E12" i="3" s="1"/>
  <c r="D12" i="3" s="1"/>
  <c r="I16" i="3"/>
  <c r="E16" i="3" s="1"/>
  <c r="D16" i="3" s="1"/>
  <c r="I9" i="3"/>
  <c r="E9" i="3" s="1"/>
  <c r="D9" i="3" s="1"/>
  <c r="I17" i="3"/>
  <c r="E17" i="3" s="1"/>
  <c r="D17" i="3" s="1"/>
  <c r="I11" i="3"/>
  <c r="E11" i="3" s="1"/>
  <c r="D11" i="3" s="1"/>
  <c r="I15" i="3"/>
  <c r="E15" i="3" s="1"/>
  <c r="D15" i="3" s="1"/>
  <c r="I19" i="3"/>
  <c r="E19" i="3" s="1"/>
  <c r="D19" i="3" s="1"/>
  <c r="I11" i="1"/>
  <c r="I13" i="3"/>
  <c r="E13" i="3" s="1"/>
  <c r="D13" i="3" s="1"/>
  <c r="T5" i="1"/>
  <c r="Q11" i="1"/>
  <c r="I6" i="3"/>
  <c r="E6" i="3" s="1"/>
  <c r="D6" i="3" s="1"/>
  <c r="M11" i="1"/>
  <c r="C4" i="1"/>
  <c r="C5" i="1" s="1"/>
  <c r="O11" i="1"/>
  <c r="I14" i="3"/>
  <c r="E14" i="3" s="1"/>
  <c r="D14" i="3" s="1"/>
  <c r="L4" i="2"/>
  <c r="M4" i="2" s="1"/>
  <c r="L5" i="2"/>
  <c r="M5" i="2" s="1"/>
  <c r="M6" i="2"/>
  <c r="U11" i="1" l="1"/>
  <c r="B1" i="3"/>
  <c r="G4" i="1"/>
  <c r="G5" i="1" s="1"/>
</calcChain>
</file>

<file path=xl/sharedStrings.xml><?xml version="1.0" encoding="utf-8"?>
<sst xmlns="http://schemas.openxmlformats.org/spreadsheetml/2006/main" count="695" uniqueCount="380">
  <si>
    <t>PT 개인 매출</t>
  </si>
  <si>
    <t>FC 개인 매출</t>
  </si>
  <si>
    <t>실 카드 외 매출</t>
  </si>
  <si>
    <t>소득공제
(중복기입)</t>
  </si>
  <si>
    <t>지점</t>
  </si>
  <si>
    <t>선정릉점</t>
  </si>
  <si>
    <t>매출 세부내역
( 담당자 필터에서 담당자를 설정하시면 개인별 세부사항이 나옵니다 )</t>
  </si>
  <si>
    <t>PT매출</t>
  </si>
  <si>
    <t>매   출</t>
  </si>
  <si>
    <t>프로모션1</t>
  </si>
  <si>
    <t>목   표</t>
  </si>
  <si>
    <t>급여(세후)</t>
  </si>
  <si>
    <t>신규(매출)</t>
  </si>
  <si>
    <t>계좌 매출</t>
  </si>
  <si>
    <t>카드 외 매출</t>
  </si>
  <si>
    <t>PT 주니어</t>
  </si>
  <si>
    <t>총 카드매출</t>
  </si>
  <si>
    <t>급여(세전)</t>
  </si>
  <si>
    <t>재등록(매출)</t>
  </si>
  <si>
    <t>목표매출</t>
  </si>
  <si>
    <t>FC 팀원</t>
  </si>
  <si>
    <t>오픈/마감</t>
  </si>
  <si>
    <t>재등록(수)</t>
  </si>
  <si>
    <t>영업지원금</t>
  </si>
  <si>
    <t>프로모션3</t>
  </si>
  <si>
    <t>PT 팀장</t>
  </si>
  <si>
    <t>프로모션2</t>
  </si>
  <si>
    <t>PT
세션</t>
  </si>
  <si>
    <t>소득공제</t>
  </si>
  <si>
    <t>PT 팀원</t>
  </si>
  <si>
    <t>카드사명</t>
  </si>
  <si>
    <t>카드 외</t>
  </si>
  <si>
    <t>퇴사 직원</t>
  </si>
  <si>
    <t>FC 시니어</t>
  </si>
  <si>
    <t>FC매출</t>
  </si>
  <si>
    <t>급여내역</t>
  </si>
  <si>
    <t>기타매출</t>
  </si>
  <si>
    <t>FC 팀장</t>
  </si>
  <si>
    <t>PT 매출</t>
  </si>
  <si>
    <t>FC 주니어</t>
  </si>
  <si>
    <t>달성매출</t>
  </si>
  <si>
    <t>FC 매니저</t>
  </si>
  <si>
    <t>환불 금액</t>
  </si>
  <si>
    <t>PT 시니어</t>
  </si>
  <si>
    <t>월 총 매출</t>
  </si>
  <si>
    <t>PT 매니저</t>
  </si>
  <si>
    <t>회원권 매출</t>
  </si>
  <si>
    <t>아르바이트</t>
  </si>
  <si>
    <t>기타 매출</t>
  </si>
  <si>
    <t>신규(수)</t>
  </si>
  <si>
    <t>총 매출보고서</t>
  </si>
  <si>
    <t>회원권
기간</t>
  </si>
  <si>
    <t xml:space="preserve">  ※순위표 작성방법 : 회색 부분에만 작성 하고, 특이사항있을시 본사에 연락할 것</t>
  </si>
  <si>
    <t>환불</t>
  </si>
  <si>
    <t>시니어</t>
  </si>
  <si>
    <t>커미션</t>
  </si>
  <si>
    <t>수업료</t>
  </si>
  <si>
    <t>전체</t>
  </si>
  <si>
    <t>성별</t>
  </si>
  <si>
    <t>이름</t>
  </si>
  <si>
    <t>재등록</t>
  </si>
  <si>
    <t>신규</t>
  </si>
  <si>
    <t>달성률</t>
  </si>
  <si>
    <t>구분</t>
  </si>
  <si>
    <t>매출</t>
  </si>
  <si>
    <t>팀원</t>
  </si>
  <si>
    <t>팀장</t>
  </si>
  <si>
    <t>회원권</t>
  </si>
  <si>
    <t>목표</t>
  </si>
  <si>
    <t xml:space="preserve">CS </t>
  </si>
  <si>
    <t>성명</t>
  </si>
  <si>
    <t>PT</t>
  </si>
  <si>
    <t>지점장</t>
  </si>
  <si>
    <t>객단가</t>
  </si>
  <si>
    <t>담당자</t>
  </si>
  <si>
    <t xml:space="preserve"> </t>
  </si>
  <si>
    <t>매니저</t>
  </si>
  <si>
    <t>날짜</t>
  </si>
  <si>
    <t>비고</t>
  </si>
  <si>
    <t>계좌</t>
  </si>
  <si>
    <t>카드</t>
  </si>
  <si>
    <t>총매출</t>
  </si>
  <si>
    <t>기타</t>
  </si>
  <si>
    <t>조건우</t>
  </si>
  <si>
    <t>장광희</t>
  </si>
  <si>
    <t>전현동</t>
  </si>
  <si>
    <t>김영인</t>
  </si>
  <si>
    <t>변재용</t>
  </si>
  <si>
    <t xml:space="preserve">※작성 매뉴얼
1. 회색으로 처리된 부분만 작성 가능 
</t>
  </si>
  <si>
    <t>유세린</t>
    <phoneticPr fontId="13" type="noConversion"/>
  </si>
  <si>
    <t>최성욱</t>
    <phoneticPr fontId="13" type="noConversion"/>
  </si>
  <si>
    <t>황용선</t>
    <phoneticPr fontId="13" type="noConversion"/>
  </si>
  <si>
    <t>8월</t>
    <phoneticPr fontId="13" type="noConversion"/>
  </si>
  <si>
    <t>이지윤</t>
    <phoneticPr fontId="13" type="noConversion"/>
  </si>
  <si>
    <t>일일권</t>
    <phoneticPr fontId="13" type="noConversion"/>
  </si>
  <si>
    <t>재등록</t>
    <phoneticPr fontId="13" type="noConversion"/>
  </si>
  <si>
    <t>유세린</t>
    <phoneticPr fontId="13" type="noConversion"/>
  </si>
  <si>
    <t>하나카드</t>
    <phoneticPr fontId="13" type="noConversion"/>
  </si>
  <si>
    <t>채호병</t>
    <phoneticPr fontId="13" type="noConversion"/>
  </si>
  <si>
    <t>신규</t>
    <phoneticPr fontId="13" type="noConversion"/>
  </si>
  <si>
    <t>유세린</t>
    <phoneticPr fontId="13" type="noConversion"/>
  </si>
  <si>
    <t>현대카드</t>
    <phoneticPr fontId="13" type="noConversion"/>
  </si>
  <si>
    <t>곽나영</t>
    <phoneticPr fontId="13" type="noConversion"/>
  </si>
  <si>
    <t>신규</t>
    <phoneticPr fontId="13" type="noConversion"/>
  </si>
  <si>
    <t>유세린</t>
    <phoneticPr fontId="13" type="noConversion"/>
  </si>
  <si>
    <t>신한카드</t>
    <phoneticPr fontId="13" type="noConversion"/>
  </si>
  <si>
    <t>이영신</t>
    <phoneticPr fontId="13" type="noConversion"/>
  </si>
  <si>
    <t>재등록</t>
    <phoneticPr fontId="13" type="noConversion"/>
  </si>
  <si>
    <t>유세린</t>
    <phoneticPr fontId="13" type="noConversion"/>
  </si>
  <si>
    <t>비씨카드</t>
    <phoneticPr fontId="13" type="noConversion"/>
  </si>
  <si>
    <t>한효원</t>
    <phoneticPr fontId="13" type="noConversion"/>
  </si>
  <si>
    <t>운1</t>
    <phoneticPr fontId="13" type="noConversion"/>
  </si>
  <si>
    <t>비씨카드</t>
    <phoneticPr fontId="13" type="noConversion"/>
  </si>
  <si>
    <t>김미라</t>
    <phoneticPr fontId="13" type="noConversion"/>
  </si>
  <si>
    <t>신규</t>
    <phoneticPr fontId="13" type="noConversion"/>
  </si>
  <si>
    <t>운2 락2</t>
    <phoneticPr fontId="13" type="noConversion"/>
  </si>
  <si>
    <t>우리카드</t>
    <phoneticPr fontId="13" type="noConversion"/>
  </si>
  <si>
    <t>전현동</t>
    <phoneticPr fontId="13" type="noConversion"/>
  </si>
  <si>
    <t>김민수</t>
    <phoneticPr fontId="13" type="noConversion"/>
  </si>
  <si>
    <t>신규</t>
    <phoneticPr fontId="13" type="noConversion"/>
  </si>
  <si>
    <t>유세린</t>
    <phoneticPr fontId="13" type="noConversion"/>
  </si>
  <si>
    <t>비씨카드</t>
    <phoneticPr fontId="13" type="noConversion"/>
  </si>
  <si>
    <t>안재형</t>
    <phoneticPr fontId="13" type="noConversion"/>
  </si>
  <si>
    <t>최슬기</t>
    <phoneticPr fontId="13" type="noConversion"/>
  </si>
  <si>
    <t>이케르</t>
    <phoneticPr fontId="13" type="noConversion"/>
  </si>
  <si>
    <t>공태하</t>
    <phoneticPr fontId="13" type="noConversion"/>
  </si>
  <si>
    <t>재등록</t>
    <phoneticPr fontId="13" type="noConversion"/>
  </si>
  <si>
    <t>신한카드</t>
    <phoneticPr fontId="13" type="noConversion"/>
  </si>
  <si>
    <t>전성필</t>
    <phoneticPr fontId="13" type="noConversion"/>
  </si>
  <si>
    <t>비씨카드20만/현대카드10만</t>
    <phoneticPr fontId="13" type="noConversion"/>
  </si>
  <si>
    <t>이서린</t>
    <phoneticPr fontId="13" type="noConversion"/>
  </si>
  <si>
    <t>일일권</t>
    <phoneticPr fontId="13" type="noConversion"/>
  </si>
  <si>
    <t>하나카드</t>
    <phoneticPr fontId="13" type="noConversion"/>
  </si>
  <si>
    <t>공규진</t>
    <phoneticPr fontId="13" type="noConversion"/>
  </si>
  <si>
    <t>운1</t>
    <phoneticPr fontId="13" type="noConversion"/>
  </si>
  <si>
    <t>손민영</t>
    <phoneticPr fontId="13" type="noConversion"/>
  </si>
  <si>
    <t>결제변경</t>
    <phoneticPr fontId="13" type="noConversion"/>
  </si>
  <si>
    <t>장광희</t>
    <phoneticPr fontId="13" type="noConversion"/>
  </si>
  <si>
    <t>국민카드</t>
    <phoneticPr fontId="13" type="noConversion"/>
  </si>
  <si>
    <t>김미숙</t>
    <phoneticPr fontId="13" type="noConversion"/>
  </si>
  <si>
    <t>황용선</t>
    <phoneticPr fontId="13" type="noConversion"/>
  </si>
  <si>
    <t>현대카드</t>
    <phoneticPr fontId="13" type="noConversion"/>
  </si>
  <si>
    <t>최성욱</t>
    <phoneticPr fontId="13" type="noConversion"/>
  </si>
  <si>
    <t>장대호</t>
    <phoneticPr fontId="13" type="noConversion"/>
  </si>
  <si>
    <t>락12</t>
    <phoneticPr fontId="13" type="noConversion"/>
  </si>
  <si>
    <t>신규</t>
    <phoneticPr fontId="13" type="noConversion"/>
  </si>
  <si>
    <t>유세린</t>
    <phoneticPr fontId="13" type="noConversion"/>
  </si>
  <si>
    <t>비씨카드</t>
    <phoneticPr fontId="13" type="noConversion"/>
  </si>
  <si>
    <t>김유진</t>
    <phoneticPr fontId="13" type="noConversion"/>
  </si>
  <si>
    <t>락4</t>
    <phoneticPr fontId="13" type="noConversion"/>
  </si>
  <si>
    <t>이세영</t>
    <phoneticPr fontId="13" type="noConversion"/>
  </si>
  <si>
    <t>삼성카드</t>
    <phoneticPr fontId="13" type="noConversion"/>
  </si>
  <si>
    <t>박수현</t>
    <phoneticPr fontId="13" type="noConversion"/>
  </si>
  <si>
    <t>박수현</t>
    <phoneticPr fontId="13" type="noConversion"/>
  </si>
  <si>
    <t>신규</t>
    <phoneticPr fontId="13" type="noConversion"/>
  </si>
  <si>
    <t>장광희</t>
    <phoneticPr fontId="13" type="noConversion"/>
  </si>
  <si>
    <t>롯데카드,하나카드,우리카드,현대카드 687,500원</t>
    <phoneticPr fontId="13" type="noConversion"/>
  </si>
  <si>
    <t>이하늘</t>
    <phoneticPr fontId="13" type="noConversion"/>
  </si>
  <si>
    <t>일일권</t>
    <phoneticPr fontId="13" type="noConversion"/>
  </si>
  <si>
    <t>신규</t>
    <phoneticPr fontId="13" type="noConversion"/>
  </si>
  <si>
    <t>유세린</t>
    <phoneticPr fontId="13" type="noConversion"/>
  </si>
  <si>
    <t>현대카드</t>
    <phoneticPr fontId="13" type="noConversion"/>
  </si>
  <si>
    <t>엄재원</t>
    <phoneticPr fontId="13" type="noConversion"/>
  </si>
  <si>
    <t>비씨카드</t>
    <phoneticPr fontId="13" type="noConversion"/>
  </si>
  <si>
    <t>윤성찬</t>
    <phoneticPr fontId="13" type="noConversion"/>
  </si>
  <si>
    <t>비씨카드</t>
    <phoneticPr fontId="13" type="noConversion"/>
  </si>
  <si>
    <t>김지민</t>
    <phoneticPr fontId="13" type="noConversion"/>
  </si>
  <si>
    <t>신규</t>
    <phoneticPr fontId="13" type="noConversion"/>
  </si>
  <si>
    <t>유세린</t>
    <phoneticPr fontId="13" type="noConversion"/>
  </si>
  <si>
    <t>비씨카드</t>
    <phoneticPr fontId="13" type="noConversion"/>
  </si>
  <si>
    <t>변재용</t>
    <phoneticPr fontId="13" type="noConversion"/>
  </si>
  <si>
    <t>비씨카드11,000원/계좌이체1,789,000원</t>
    <phoneticPr fontId="13" type="noConversion"/>
  </si>
  <si>
    <t>이종인</t>
    <phoneticPr fontId="13" type="noConversion"/>
  </si>
  <si>
    <t>이황주</t>
    <phoneticPr fontId="13" type="noConversion"/>
  </si>
  <si>
    <t>현대카드</t>
    <phoneticPr fontId="13" type="noConversion"/>
  </si>
  <si>
    <t>박세유</t>
    <phoneticPr fontId="13" type="noConversion"/>
  </si>
  <si>
    <t>재등록</t>
    <phoneticPr fontId="13" type="noConversion"/>
  </si>
  <si>
    <t>이상아</t>
    <phoneticPr fontId="13" type="noConversion"/>
  </si>
  <si>
    <t>장광희</t>
    <phoneticPr fontId="13" type="noConversion"/>
  </si>
  <si>
    <t>송건</t>
    <phoneticPr fontId="13" type="noConversion"/>
  </si>
  <si>
    <t>우리카드</t>
    <phoneticPr fontId="13" type="noConversion"/>
  </si>
  <si>
    <t>황용선</t>
    <phoneticPr fontId="13" type="noConversion"/>
  </si>
  <si>
    <t>이상언</t>
    <phoneticPr fontId="13" type="noConversion"/>
  </si>
  <si>
    <t>일일권</t>
    <phoneticPr fontId="13" type="noConversion"/>
  </si>
  <si>
    <t>이지윤</t>
    <phoneticPr fontId="13" type="noConversion"/>
  </si>
  <si>
    <t>김민지</t>
    <phoneticPr fontId="13" type="noConversion"/>
  </si>
  <si>
    <t>운4</t>
    <phoneticPr fontId="13" type="noConversion"/>
  </si>
  <si>
    <t>신규</t>
    <phoneticPr fontId="13" type="noConversion"/>
  </si>
  <si>
    <t>유세린</t>
    <phoneticPr fontId="13" type="noConversion"/>
  </si>
  <si>
    <t>비씨카드</t>
    <phoneticPr fontId="13" type="noConversion"/>
  </si>
  <si>
    <t>차환주</t>
    <phoneticPr fontId="13" type="noConversion"/>
  </si>
  <si>
    <t>락</t>
    <phoneticPr fontId="13" type="noConversion"/>
  </si>
  <si>
    <t>롯데카드</t>
    <phoneticPr fontId="13" type="noConversion"/>
  </si>
  <si>
    <t>일일권</t>
    <phoneticPr fontId="13" type="noConversion"/>
  </si>
  <si>
    <t>이지윤</t>
    <phoneticPr fontId="13" type="noConversion"/>
  </si>
  <si>
    <t>최성욱</t>
    <phoneticPr fontId="13" type="noConversion"/>
  </si>
  <si>
    <t>하나카드</t>
    <phoneticPr fontId="13" type="noConversion"/>
  </si>
  <si>
    <t>이은빈</t>
    <phoneticPr fontId="13" type="noConversion"/>
  </si>
  <si>
    <t>사이다페이</t>
    <phoneticPr fontId="13" type="noConversion"/>
  </si>
  <si>
    <t>김호수</t>
    <phoneticPr fontId="13" type="noConversion"/>
  </si>
  <si>
    <t>재등록</t>
    <phoneticPr fontId="13" type="noConversion"/>
  </si>
  <si>
    <t>황용선</t>
    <phoneticPr fontId="13" type="noConversion"/>
  </si>
  <si>
    <t>락7</t>
    <phoneticPr fontId="13" type="noConversion"/>
  </si>
  <si>
    <t>신한카드</t>
    <phoneticPr fontId="13" type="noConversion"/>
  </si>
  <si>
    <t>김은주</t>
    <phoneticPr fontId="13" type="noConversion"/>
  </si>
  <si>
    <t>정하연</t>
    <phoneticPr fontId="13" type="noConversion"/>
  </si>
  <si>
    <t>결제변경</t>
    <phoneticPr fontId="13" type="noConversion"/>
  </si>
  <si>
    <t>장광희</t>
    <phoneticPr fontId="13" type="noConversion"/>
  </si>
  <si>
    <t>우리카드</t>
    <phoneticPr fontId="13" type="noConversion"/>
  </si>
  <si>
    <t>정하연</t>
    <phoneticPr fontId="13" type="noConversion"/>
  </si>
  <si>
    <t>결제변경</t>
    <phoneticPr fontId="13" type="noConversion"/>
  </si>
  <si>
    <t>장광희</t>
    <phoneticPr fontId="13" type="noConversion"/>
  </si>
  <si>
    <t>비씨카드</t>
    <phoneticPr fontId="13" type="noConversion"/>
  </si>
  <si>
    <t>신동주</t>
    <phoneticPr fontId="13" type="noConversion"/>
  </si>
  <si>
    <t>유세린</t>
    <phoneticPr fontId="13" type="noConversion"/>
  </si>
  <si>
    <t>하나카드</t>
    <phoneticPr fontId="13" type="noConversion"/>
  </si>
  <si>
    <t>김도훈</t>
    <phoneticPr fontId="13" type="noConversion"/>
  </si>
  <si>
    <t>신규</t>
    <phoneticPr fontId="13" type="noConversion"/>
  </si>
  <si>
    <t>유세린</t>
    <phoneticPr fontId="13" type="noConversion"/>
  </si>
  <si>
    <t>신한카드</t>
    <phoneticPr fontId="13" type="noConversion"/>
  </si>
  <si>
    <t>최석흠</t>
    <phoneticPr fontId="13" type="noConversion"/>
  </si>
  <si>
    <t>재등록</t>
    <phoneticPr fontId="13" type="noConversion"/>
  </si>
  <si>
    <t>비씨카드</t>
    <phoneticPr fontId="13" type="noConversion"/>
  </si>
  <si>
    <t>박정집</t>
    <phoneticPr fontId="13" type="noConversion"/>
  </si>
  <si>
    <t>운3락3</t>
    <phoneticPr fontId="13" type="noConversion"/>
  </si>
  <si>
    <t>김혜지</t>
    <phoneticPr fontId="13" type="noConversion"/>
  </si>
  <si>
    <t>일일권</t>
    <phoneticPr fontId="13" type="noConversion"/>
  </si>
  <si>
    <t>삼성카드</t>
    <phoneticPr fontId="13" type="noConversion"/>
  </si>
  <si>
    <t>이동우</t>
    <phoneticPr fontId="13" type="noConversion"/>
  </si>
  <si>
    <t>사이다페이</t>
    <phoneticPr fontId="13" type="noConversion"/>
  </si>
  <si>
    <t>구영완</t>
    <phoneticPr fontId="13" type="noConversion"/>
  </si>
  <si>
    <t>현대카드</t>
    <phoneticPr fontId="13" type="noConversion"/>
  </si>
  <si>
    <t>변재용</t>
    <phoneticPr fontId="13" type="noConversion"/>
  </si>
  <si>
    <t>김학중</t>
    <phoneticPr fontId="13" type="noConversion"/>
  </si>
  <si>
    <t>장하연</t>
    <phoneticPr fontId="13" type="noConversion"/>
  </si>
  <si>
    <t>조윤하</t>
    <phoneticPr fontId="13" type="noConversion"/>
  </si>
  <si>
    <t>운4</t>
    <phoneticPr fontId="13" type="noConversion"/>
  </si>
  <si>
    <t>농협카드</t>
    <phoneticPr fontId="13" type="noConversion"/>
  </si>
  <si>
    <t>김건휘</t>
    <phoneticPr fontId="13" type="noConversion"/>
  </si>
  <si>
    <t>비씨카드</t>
    <phoneticPr fontId="13" type="noConversion"/>
  </si>
  <si>
    <t>안재현</t>
    <phoneticPr fontId="13" type="noConversion"/>
  </si>
  <si>
    <t>재등록</t>
    <phoneticPr fontId="13" type="noConversion"/>
  </si>
  <si>
    <t>황용선</t>
    <phoneticPr fontId="13" type="noConversion"/>
  </si>
  <si>
    <t>우리카드</t>
    <phoneticPr fontId="13" type="noConversion"/>
  </si>
  <si>
    <t>박주영</t>
    <phoneticPr fontId="13" type="noConversion"/>
  </si>
  <si>
    <t>운4</t>
    <phoneticPr fontId="13" type="noConversion"/>
  </si>
  <si>
    <t>신규</t>
    <phoneticPr fontId="13" type="noConversion"/>
  </si>
  <si>
    <t>유세린</t>
    <phoneticPr fontId="13" type="noConversion"/>
  </si>
  <si>
    <t>비씨카드</t>
    <phoneticPr fontId="13" type="noConversion"/>
  </si>
  <si>
    <t>김지은</t>
    <phoneticPr fontId="13" type="noConversion"/>
  </si>
  <si>
    <t>락4</t>
    <phoneticPr fontId="13" type="noConversion"/>
  </si>
  <si>
    <t>삼성카드</t>
    <phoneticPr fontId="13" type="noConversion"/>
  </si>
  <si>
    <t>김준형</t>
    <phoneticPr fontId="13" type="noConversion"/>
  </si>
  <si>
    <t>변재성</t>
    <phoneticPr fontId="13" type="noConversion"/>
  </si>
  <si>
    <t>양도수수료</t>
    <phoneticPr fontId="13" type="noConversion"/>
  </si>
  <si>
    <t>김경아</t>
    <phoneticPr fontId="13" type="noConversion"/>
  </si>
  <si>
    <t>국민카드</t>
    <phoneticPr fontId="13" type="noConversion"/>
  </si>
  <si>
    <t>김영인</t>
    <phoneticPr fontId="13" type="noConversion"/>
  </si>
  <si>
    <t>백예랑</t>
    <phoneticPr fontId="13" type="noConversion"/>
  </si>
  <si>
    <t>장광희</t>
    <phoneticPr fontId="13" type="noConversion"/>
  </si>
  <si>
    <t>김하영</t>
    <phoneticPr fontId="13" type="noConversion"/>
  </si>
  <si>
    <t>6/30 계좌이체건 현금영수증 발행</t>
    <phoneticPr fontId="13" type="noConversion"/>
  </si>
  <si>
    <t>우리카드</t>
    <phoneticPr fontId="13" type="noConversion"/>
  </si>
  <si>
    <t>강지수</t>
    <phoneticPr fontId="13" type="noConversion"/>
  </si>
  <si>
    <t>재등록</t>
    <phoneticPr fontId="13" type="noConversion"/>
  </si>
  <si>
    <t>유세린</t>
    <phoneticPr fontId="13" type="noConversion"/>
  </si>
  <si>
    <t>비씨카드</t>
    <phoneticPr fontId="13" type="noConversion"/>
  </si>
  <si>
    <t>문서희</t>
    <phoneticPr fontId="13" type="noConversion"/>
  </si>
  <si>
    <t>장광희</t>
    <phoneticPr fontId="13" type="noConversion"/>
  </si>
  <si>
    <t>비씨카드22만/국민카드50만</t>
    <phoneticPr fontId="13" type="noConversion"/>
  </si>
  <si>
    <t>이형주</t>
    <phoneticPr fontId="13" type="noConversion"/>
  </si>
  <si>
    <t>비씨카드20만/삼성카드1,032,000원</t>
    <phoneticPr fontId="13" type="noConversion"/>
  </si>
  <si>
    <t>최민영</t>
    <phoneticPr fontId="13" type="noConversion"/>
  </si>
  <si>
    <t>변재용</t>
    <phoneticPr fontId="13" type="noConversion"/>
  </si>
  <si>
    <t>현대카드</t>
    <phoneticPr fontId="13" type="noConversion"/>
  </si>
  <si>
    <t>김용재</t>
    <phoneticPr fontId="13" type="noConversion"/>
  </si>
  <si>
    <t>결제변경</t>
    <phoneticPr fontId="13" type="noConversion"/>
  </si>
  <si>
    <t>삼성카드10만/롯데카드100만</t>
    <phoneticPr fontId="13" type="noConversion"/>
  </si>
  <si>
    <t>박창민</t>
    <phoneticPr fontId="13" type="noConversion"/>
  </si>
  <si>
    <t>신규</t>
    <phoneticPr fontId="13" type="noConversion"/>
  </si>
  <si>
    <t>황용선</t>
    <phoneticPr fontId="13" type="noConversion"/>
  </si>
  <si>
    <t>사이다페이</t>
    <phoneticPr fontId="13" type="noConversion"/>
  </si>
  <si>
    <t>유세린</t>
    <phoneticPr fontId="13" type="noConversion"/>
  </si>
  <si>
    <t>조충현</t>
    <phoneticPr fontId="13" type="noConversion"/>
  </si>
  <si>
    <t>재등록</t>
    <phoneticPr fontId="13" type="noConversion"/>
  </si>
  <si>
    <t>비씨카드</t>
    <phoneticPr fontId="13" type="noConversion"/>
  </si>
  <si>
    <t>이영호</t>
    <phoneticPr fontId="13" type="noConversion"/>
  </si>
  <si>
    <t>국민카드</t>
    <phoneticPr fontId="13" type="noConversion"/>
  </si>
  <si>
    <t>김혜지</t>
    <phoneticPr fontId="13" type="noConversion"/>
  </si>
  <si>
    <t>조건우</t>
    <phoneticPr fontId="13" type="noConversion"/>
  </si>
  <si>
    <t>신한카드</t>
    <phoneticPr fontId="13" type="noConversion"/>
  </si>
  <si>
    <t>김유림</t>
    <phoneticPr fontId="13" type="noConversion"/>
  </si>
  <si>
    <t>김영인</t>
    <phoneticPr fontId="13" type="noConversion"/>
  </si>
  <si>
    <t>현대카드</t>
    <phoneticPr fontId="13" type="noConversion"/>
  </si>
  <si>
    <t>운1</t>
    <phoneticPr fontId="13" type="noConversion"/>
  </si>
  <si>
    <t>조정호</t>
    <phoneticPr fontId="13" type="noConversion"/>
  </si>
  <si>
    <t>곽나영</t>
    <phoneticPr fontId="13" type="noConversion"/>
  </si>
  <si>
    <t>고연제</t>
    <phoneticPr fontId="13" type="noConversion"/>
  </si>
  <si>
    <t>재등록</t>
    <phoneticPr fontId="13" type="noConversion"/>
  </si>
  <si>
    <t>황용선</t>
    <phoneticPr fontId="13" type="noConversion"/>
  </si>
  <si>
    <t>국민카드</t>
    <phoneticPr fontId="13" type="noConversion"/>
  </si>
  <si>
    <t>이주환</t>
    <phoneticPr fontId="13" type="noConversion"/>
  </si>
  <si>
    <t>일일권</t>
    <phoneticPr fontId="13" type="noConversion"/>
  </si>
  <si>
    <t>유세린</t>
    <phoneticPr fontId="13" type="noConversion"/>
  </si>
  <si>
    <t>신한카드</t>
    <phoneticPr fontId="13" type="noConversion"/>
  </si>
  <si>
    <t>진가영</t>
    <phoneticPr fontId="13" type="noConversion"/>
  </si>
  <si>
    <t>사이다페이500만/국민카드140만/비씨카드20만</t>
    <phoneticPr fontId="13" type="noConversion"/>
  </si>
  <si>
    <t>최성욱</t>
    <phoneticPr fontId="13" type="noConversion"/>
  </si>
  <si>
    <t>사이다페이500만/국민카드140만/비씨카드20만</t>
    <phoneticPr fontId="13" type="noConversion"/>
  </si>
  <si>
    <t>권병수</t>
    <phoneticPr fontId="13" type="noConversion"/>
  </si>
  <si>
    <t>일일권</t>
    <phoneticPr fontId="13" type="noConversion"/>
  </si>
  <si>
    <t>유세린</t>
    <phoneticPr fontId="13" type="noConversion"/>
  </si>
  <si>
    <t>신한카드</t>
    <phoneticPr fontId="13" type="noConversion"/>
  </si>
  <si>
    <t>안수진</t>
    <phoneticPr fontId="13" type="noConversion"/>
  </si>
  <si>
    <t>양도수수료</t>
    <phoneticPr fontId="13" type="noConversion"/>
  </si>
  <si>
    <t>비씨카드</t>
    <phoneticPr fontId="13" type="noConversion"/>
  </si>
  <si>
    <t>김경훈</t>
    <phoneticPr fontId="13" type="noConversion"/>
  </si>
  <si>
    <t>운7락7</t>
    <phoneticPr fontId="13" type="noConversion"/>
  </si>
  <si>
    <t>신규</t>
    <phoneticPr fontId="13" type="noConversion"/>
  </si>
  <si>
    <t>현대카드</t>
    <phoneticPr fontId="13" type="noConversion"/>
  </si>
  <si>
    <t>김동한</t>
    <phoneticPr fontId="13" type="noConversion"/>
  </si>
  <si>
    <t>국민카드</t>
    <phoneticPr fontId="13" type="noConversion"/>
  </si>
  <si>
    <t>최재근</t>
    <phoneticPr fontId="13" type="noConversion"/>
  </si>
  <si>
    <t>정동인</t>
    <phoneticPr fontId="13" type="noConversion"/>
  </si>
  <si>
    <t>사이다페이10만 계좌이체152,000원</t>
    <phoneticPr fontId="13" type="noConversion"/>
  </si>
  <si>
    <t>김도엽</t>
    <phoneticPr fontId="13" type="noConversion"/>
  </si>
  <si>
    <t>양영철</t>
    <phoneticPr fontId="13" type="noConversion"/>
  </si>
  <si>
    <t>일일권</t>
    <phoneticPr fontId="13" type="noConversion"/>
  </si>
  <si>
    <t>유세린</t>
    <phoneticPr fontId="13" type="noConversion"/>
  </si>
  <si>
    <t>이호형</t>
    <phoneticPr fontId="13" type="noConversion"/>
  </si>
  <si>
    <t>재등록</t>
    <phoneticPr fontId="13" type="noConversion"/>
  </si>
  <si>
    <t>변재용</t>
    <phoneticPr fontId="13" type="noConversion"/>
  </si>
  <si>
    <t>농협카드</t>
    <phoneticPr fontId="13" type="noConversion"/>
  </si>
  <si>
    <t>김혜원</t>
    <phoneticPr fontId="13" type="noConversion"/>
  </si>
  <si>
    <t>락10</t>
    <phoneticPr fontId="13" type="noConversion"/>
  </si>
  <si>
    <t>유세린</t>
    <phoneticPr fontId="13" type="noConversion"/>
  </si>
  <si>
    <t>국민카드</t>
    <phoneticPr fontId="13" type="noConversion"/>
  </si>
  <si>
    <t>김광록</t>
    <phoneticPr fontId="13" type="noConversion"/>
  </si>
  <si>
    <t>양도수수료</t>
    <phoneticPr fontId="13" type="noConversion"/>
  </si>
  <si>
    <t>삼성카드</t>
    <phoneticPr fontId="13" type="noConversion"/>
  </si>
  <si>
    <t>김동영</t>
    <phoneticPr fontId="13" type="noConversion"/>
  </si>
  <si>
    <t>신규</t>
    <phoneticPr fontId="13" type="noConversion"/>
  </si>
  <si>
    <t>최성욱</t>
    <phoneticPr fontId="13" type="noConversion"/>
  </si>
  <si>
    <t>락7</t>
    <phoneticPr fontId="13" type="noConversion"/>
  </si>
  <si>
    <t>김남우</t>
    <phoneticPr fontId="13" type="noConversion"/>
  </si>
  <si>
    <t>현대카드</t>
    <phoneticPr fontId="13" type="noConversion"/>
  </si>
  <si>
    <t>한민수</t>
    <phoneticPr fontId="13" type="noConversion"/>
  </si>
  <si>
    <t>강민규</t>
    <phoneticPr fontId="13" type="noConversion"/>
  </si>
  <si>
    <t>지상민</t>
    <phoneticPr fontId="13" type="noConversion"/>
  </si>
  <si>
    <t>김진호</t>
    <phoneticPr fontId="13" type="noConversion"/>
  </si>
  <si>
    <t>박정집</t>
    <phoneticPr fontId="13" type="noConversion"/>
  </si>
  <si>
    <t>전현동</t>
    <phoneticPr fontId="13" type="noConversion"/>
  </si>
  <si>
    <t>사이다페이</t>
    <phoneticPr fontId="13" type="noConversion"/>
  </si>
  <si>
    <t>한정희</t>
    <phoneticPr fontId="13" type="noConversion"/>
  </si>
  <si>
    <t>김승현</t>
    <phoneticPr fontId="13" type="noConversion"/>
  </si>
  <si>
    <t>운4락4</t>
    <phoneticPr fontId="13" type="noConversion"/>
  </si>
  <si>
    <t>조은중</t>
    <phoneticPr fontId="13" type="noConversion"/>
  </si>
  <si>
    <t>운1</t>
    <phoneticPr fontId="13" type="noConversion"/>
  </si>
  <si>
    <t>신규</t>
    <phoneticPr fontId="13" type="noConversion"/>
  </si>
  <si>
    <t>유세린</t>
    <phoneticPr fontId="13" type="noConversion"/>
  </si>
  <si>
    <t>비씨카드</t>
    <phoneticPr fontId="13" type="noConversion"/>
  </si>
  <si>
    <t>김소희</t>
    <phoneticPr fontId="13" type="noConversion"/>
  </si>
  <si>
    <t>결제변경</t>
    <phoneticPr fontId="13" type="noConversion"/>
  </si>
  <si>
    <t>장광희</t>
    <phoneticPr fontId="13" type="noConversion"/>
  </si>
  <si>
    <t>7/22결제건 입금취소</t>
    <phoneticPr fontId="13" type="noConversion"/>
  </si>
  <si>
    <t>우리카드238만/신한카드30만</t>
    <phoneticPr fontId="13" type="noConversion"/>
  </si>
  <si>
    <t>김민지</t>
    <phoneticPr fontId="13" type="noConversion"/>
  </si>
  <si>
    <t>김영인</t>
    <phoneticPr fontId="13" type="noConversion"/>
  </si>
  <si>
    <t>사이다페이</t>
    <phoneticPr fontId="13" type="noConversion"/>
  </si>
  <si>
    <t>이재민</t>
    <phoneticPr fontId="13" type="noConversion"/>
  </si>
  <si>
    <t>양수현</t>
    <phoneticPr fontId="13" type="noConversion"/>
  </si>
  <si>
    <t>한민영</t>
    <phoneticPr fontId="13" type="noConversion"/>
  </si>
  <si>
    <t>일일권</t>
    <phoneticPr fontId="13" type="noConversion"/>
  </si>
  <si>
    <t>하나카드</t>
    <phoneticPr fontId="13" type="noConversion"/>
  </si>
  <si>
    <t>천지수</t>
    <phoneticPr fontId="13" type="noConversion"/>
  </si>
  <si>
    <t>재등록</t>
    <phoneticPr fontId="13" type="noConversion"/>
  </si>
  <si>
    <t>전현동</t>
    <phoneticPr fontId="13" type="noConversion"/>
  </si>
  <si>
    <t>주호진</t>
    <phoneticPr fontId="13" type="noConversion"/>
  </si>
  <si>
    <t>황용선</t>
    <phoneticPr fontId="13" type="noConversion"/>
  </si>
  <si>
    <t>계좌이체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</si>
</sst>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&quot;₩&quot;* #,##0_-;\-&quot;₩&quot;* #,##0_-;_-&quot;₩&quot;* &quot;-&quot;_-;_-@_-"/>
    <numFmt numFmtId="41" formatCode="_-* #,##0_-;\-* #,##0_-;_-* &quot;-&quot;_-;_-@_-"/>
    <numFmt numFmtId="176" formatCode="#,##0_);[Red]\(#,##0\)"/>
    <numFmt numFmtId="177" formatCode="#,##0_ ;[Red]\-#,##0\ "/>
    <numFmt numFmtId="178" formatCode="#,##0_ "/>
  </numFmts>
  <fonts count="14" x14ac:knownFonts="1">
    <font>
      <sz val="11"/>
      <color rgb="FF000000"/>
      <name val="맑은 고딕"/>
    </font>
    <font>
      <b/>
      <sz val="11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2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7"/>
      <color rgb="FF000000"/>
      <name val="맑은 고딕"/>
      <family val="3"/>
      <charset val="129"/>
    </font>
    <font>
      <sz val="6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6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6DAF1"/>
        <bgColor indexed="64"/>
      </patternFill>
    </fill>
    <fill>
      <patternFill patternType="solid">
        <fgColor rgb="FFDCE6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CD5B5"/>
        <bgColor indexed="64"/>
      </patternFill>
    </fill>
    <fill>
      <patternFill patternType="solid">
        <fgColor rgb="FFFDEADB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2" fillId="0" borderId="0">
      <alignment vertical="center"/>
    </xf>
    <xf numFmtId="42" fontId="12" fillId="0" borderId="0">
      <alignment vertical="center"/>
    </xf>
  </cellStyleXfs>
  <cellXfs count="109">
    <xf numFmtId="0" fontId="0" fillId="0" borderId="0" xfId="0">
      <alignment vertical="center"/>
    </xf>
    <xf numFmtId="178" fontId="0" fillId="0" borderId="1" xfId="0" applyNumberFormat="1" applyBorder="1">
      <alignment vertical="center"/>
    </xf>
    <xf numFmtId="0" fontId="0" fillId="0" borderId="0" xfId="0" applyProtection="1">
      <alignment vertical="center"/>
      <protection locked="0"/>
    </xf>
    <xf numFmtId="176" fontId="0" fillId="2" borderId="0" xfId="1" applyNumberFormat="1" applyFont="1" applyFill="1" applyAlignment="1" applyProtection="1">
      <alignment horizontal="center" vertical="center"/>
      <protection locked="0"/>
    </xf>
    <xf numFmtId="177" fontId="0" fillId="2" borderId="0" xfId="1" applyNumberFormat="1" applyFont="1" applyFill="1" applyAlignment="1" applyProtection="1">
      <alignment horizontal="center" vertical="center" wrapText="1"/>
      <protection locked="0"/>
    </xf>
    <xf numFmtId="177" fontId="1" fillId="2" borderId="0" xfId="0" applyNumberFormat="1" applyFont="1" applyFill="1" applyAlignment="1" applyProtection="1">
      <alignment horizontal="center" vertical="center"/>
      <protection locked="0"/>
    </xf>
    <xf numFmtId="176" fontId="0" fillId="2" borderId="0" xfId="0" applyNumberFormat="1" applyFill="1" applyAlignment="1" applyProtection="1">
      <alignment horizontal="center" vertical="center"/>
      <protection locked="0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7" fontId="2" fillId="2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78" fontId="0" fillId="0" borderId="0" xfId="0" applyNumberFormat="1">
      <alignment vertical="center"/>
    </xf>
    <xf numFmtId="178" fontId="0" fillId="0" borderId="1" xfId="0" applyNumberFormat="1" applyBorder="1" applyAlignment="1">
      <alignment horizontal="center" vertical="center"/>
    </xf>
    <xf numFmtId="10" fontId="0" fillId="0" borderId="0" xfId="0" applyNumberFormat="1">
      <alignment vertical="center"/>
    </xf>
    <xf numFmtId="10" fontId="0" fillId="0" borderId="1" xfId="0" applyNumberForma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0" xfId="0" applyFont="1">
      <alignment vertical="center"/>
    </xf>
    <xf numFmtId="178" fontId="3" fillId="0" borderId="1" xfId="0" applyNumberFormat="1" applyFont="1" applyBorder="1">
      <alignment vertical="center"/>
    </xf>
    <xf numFmtId="177" fontId="2" fillId="2" borderId="1" xfId="0" applyNumberFormat="1" applyFont="1" applyFill="1" applyBorder="1" applyAlignment="1" applyProtection="1">
      <alignment horizontal="center" vertical="center" shrinkToFit="1"/>
      <protection locked="0"/>
    </xf>
    <xf numFmtId="178" fontId="0" fillId="4" borderId="1" xfId="0" applyNumberFormat="1" applyFill="1" applyBorder="1" applyAlignment="1" applyProtection="1">
      <alignment horizontal="center" vertical="center"/>
      <protection locked="0"/>
    </xf>
    <xf numFmtId="178" fontId="0" fillId="2" borderId="1" xfId="0" applyNumberFormat="1" applyFill="1" applyBorder="1" applyAlignment="1">
      <alignment horizontal="center" vertical="center"/>
    </xf>
    <xf numFmtId="0" fontId="3" fillId="4" borderId="1" xfId="0" applyFont="1" applyFill="1" applyBorder="1" applyProtection="1">
      <alignment vertical="center"/>
      <protection locked="0"/>
    </xf>
    <xf numFmtId="178" fontId="3" fillId="4" borderId="1" xfId="0" applyNumberFormat="1" applyFont="1" applyFill="1" applyBorder="1" applyProtection="1">
      <alignment vertical="center"/>
      <protection locked="0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Protection="1">
      <alignment vertical="center"/>
      <protection locked="0"/>
    </xf>
    <xf numFmtId="0" fontId="4" fillId="0" borderId="0" xfId="0" applyFont="1">
      <alignment vertical="center"/>
    </xf>
    <xf numFmtId="0" fontId="0" fillId="4" borderId="1" xfId="0" applyFill="1" applyBorder="1" applyAlignment="1" applyProtection="1">
      <alignment horizontal="center" vertical="center"/>
      <protection locked="0"/>
    </xf>
    <xf numFmtId="177" fontId="2" fillId="0" borderId="1" xfId="0" applyNumberFormat="1" applyFont="1" applyBorder="1" applyAlignment="1" applyProtection="1">
      <alignment horizontal="center" vertical="center"/>
      <protection locked="0"/>
    </xf>
    <xf numFmtId="41" fontId="2" fillId="0" borderId="1" xfId="1" applyFont="1" applyBorder="1" applyProtection="1">
      <alignment vertical="center"/>
      <protection locked="0"/>
    </xf>
    <xf numFmtId="3" fontId="2" fillId="0" borderId="1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41" fontId="2" fillId="0" borderId="1" xfId="1" applyFont="1" applyBorder="1" applyAlignment="1" applyProtection="1">
      <alignment horizontal="center" vertical="center"/>
      <protection locked="0"/>
    </xf>
    <xf numFmtId="0" fontId="0" fillId="0" borderId="1" xfId="0" applyBorder="1" applyProtection="1">
      <alignment vertical="center"/>
      <protection locked="0"/>
    </xf>
    <xf numFmtId="0" fontId="2" fillId="5" borderId="1" xfId="0" applyFont="1" applyFill="1" applyBorder="1" applyAlignment="1">
      <alignment horizontal="center" vertical="center"/>
    </xf>
    <xf numFmtId="178" fontId="2" fillId="5" borderId="1" xfId="0" applyNumberFormat="1" applyFont="1" applyFill="1" applyBorder="1" applyAlignment="1">
      <alignment horizontal="center" vertical="center"/>
    </xf>
    <xf numFmtId="178" fontId="2" fillId="5" borderId="1" xfId="0" applyNumberFormat="1" applyFont="1" applyFill="1" applyBorder="1" applyAlignment="1">
      <alignment horizontal="center" vertical="center" wrapText="1"/>
    </xf>
    <xf numFmtId="177" fontId="2" fillId="6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5" fillId="0" borderId="0" xfId="0" applyFont="1">
      <alignment vertical="center"/>
    </xf>
    <xf numFmtId="177" fontId="6" fillId="0" borderId="0" xfId="0" applyNumberFormat="1" applyFont="1" applyAlignment="1">
      <alignment horizontal="center" vertical="center" wrapText="1" shrinkToFit="1"/>
    </xf>
    <xf numFmtId="177" fontId="2" fillId="0" borderId="0" xfId="0" applyNumberFormat="1" applyFont="1" applyAlignment="1">
      <alignment horizontal="center" vertical="center" shrinkToFit="1"/>
    </xf>
    <xf numFmtId="0" fontId="2" fillId="0" borderId="0" xfId="0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77" fontId="2" fillId="2" borderId="1" xfId="0" applyNumberFormat="1" applyFont="1" applyFill="1" applyBorder="1" applyAlignment="1" applyProtection="1">
      <alignment horizontal="center" vertical="center" wrapText="1"/>
      <protection locked="0"/>
    </xf>
    <xf numFmtId="177" fontId="2" fillId="0" borderId="1" xfId="1" applyNumberFormat="1" applyFont="1" applyBorder="1" applyProtection="1">
      <alignment vertical="center"/>
      <protection locked="0"/>
    </xf>
    <xf numFmtId="177" fontId="2" fillId="0" borderId="1" xfId="2" applyNumberFormat="1" applyFont="1" applyBorder="1" applyAlignment="1" applyProtection="1">
      <alignment horizontal="center" vertical="center"/>
      <protection locked="0"/>
    </xf>
    <xf numFmtId="177" fontId="2" fillId="2" borderId="1" xfId="0" applyNumberFormat="1" applyFont="1" applyFill="1" applyBorder="1" applyAlignment="1" applyProtection="1">
      <alignment horizontal="center" vertical="center"/>
      <protection locked="0"/>
    </xf>
    <xf numFmtId="177" fontId="8" fillId="2" borderId="1" xfId="0" applyNumberFormat="1" applyFont="1" applyFill="1" applyBorder="1" applyAlignment="1" applyProtection="1">
      <alignment horizontal="center" vertical="center"/>
      <protection locked="0"/>
    </xf>
    <xf numFmtId="0" fontId="9" fillId="3" borderId="1" xfId="0" applyFont="1" applyFill="1" applyBorder="1" applyAlignment="1" applyProtection="1">
      <alignment horizontal="center" vertical="center"/>
      <protection locked="0"/>
    </xf>
    <xf numFmtId="0" fontId="9" fillId="3" borderId="2" xfId="0" applyFont="1" applyFill="1" applyBorder="1" applyAlignment="1" applyProtection="1">
      <alignment horizontal="center" vertical="center" wrapText="1"/>
      <protection locked="0"/>
    </xf>
    <xf numFmtId="0" fontId="9" fillId="3" borderId="3" xfId="0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 vertical="center"/>
    </xf>
    <xf numFmtId="0" fontId="0" fillId="0" borderId="1" xfId="0" applyBorder="1">
      <alignment vertical="center"/>
    </xf>
    <xf numFmtId="0" fontId="0" fillId="0" borderId="4" xfId="0" applyBorder="1" applyAlignment="1">
      <alignment horizontal="center" vertical="center"/>
    </xf>
    <xf numFmtId="0" fontId="4" fillId="5" borderId="0" xfId="0" applyFont="1" applyFill="1" applyProtection="1">
      <alignment vertical="center"/>
      <protection locked="0"/>
    </xf>
    <xf numFmtId="177" fontId="2" fillId="0" borderId="1" xfId="0" applyNumberFormat="1" applyFont="1" applyBorder="1" applyAlignment="1" applyProtection="1">
      <alignment horizontal="center" vertical="center" wrapText="1"/>
      <protection locked="0"/>
    </xf>
    <xf numFmtId="177" fontId="2" fillId="5" borderId="1" xfId="0" applyNumberFormat="1" applyFont="1" applyFill="1" applyBorder="1" applyAlignment="1" applyProtection="1">
      <alignment horizontal="center" vertical="center"/>
      <protection locked="0"/>
    </xf>
    <xf numFmtId="177" fontId="2" fillId="0" borderId="5" xfId="0" applyNumberFormat="1" applyFont="1" applyBorder="1" applyAlignment="1" applyProtection="1">
      <alignment horizontal="center" vertical="center"/>
      <protection locked="0"/>
    </xf>
    <xf numFmtId="177" fontId="2" fillId="5" borderId="5" xfId="0" applyNumberFormat="1" applyFont="1" applyFill="1" applyBorder="1" applyAlignment="1" applyProtection="1">
      <alignment horizontal="center" vertical="center"/>
      <protection locked="0"/>
    </xf>
    <xf numFmtId="177" fontId="2" fillId="2" borderId="5" xfId="0" applyNumberFormat="1" applyFont="1" applyFill="1" applyBorder="1" applyAlignment="1" applyProtection="1">
      <alignment horizontal="center" vertical="center"/>
      <protection locked="0"/>
    </xf>
    <xf numFmtId="0" fontId="12" fillId="4" borderId="1" xfId="0" applyFont="1" applyFill="1" applyBorder="1" applyAlignment="1" applyProtection="1">
      <alignment horizontal="center" vertical="center"/>
      <protection locked="0"/>
    </xf>
    <xf numFmtId="0" fontId="4" fillId="9" borderId="0" xfId="0" applyFont="1" applyFill="1" applyAlignment="1" applyProtection="1">
      <alignment horizontal="center" vertical="center"/>
      <protection locked="0"/>
    </xf>
    <xf numFmtId="0" fontId="4" fillId="0" borderId="7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7" xfId="0" applyBorder="1">
      <alignment vertical="center"/>
    </xf>
    <xf numFmtId="0" fontId="0" fillId="0" borderId="12" xfId="0" applyBorder="1">
      <alignment vertical="center"/>
    </xf>
    <xf numFmtId="0" fontId="5" fillId="3" borderId="1" xfId="0" applyFont="1" applyFill="1" applyBorder="1" applyAlignment="1">
      <alignment horizontal="center" vertical="center"/>
    </xf>
    <xf numFmtId="176" fontId="11" fillId="5" borderId="1" xfId="0" applyNumberFormat="1" applyFont="1" applyFill="1" applyBorder="1" applyAlignment="1">
      <alignment horizontal="center" vertical="center"/>
    </xf>
    <xf numFmtId="176" fontId="10" fillId="5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 applyProtection="1">
      <alignment horizontal="center" vertical="center" wrapText="1"/>
      <protection locked="0"/>
    </xf>
    <xf numFmtId="0" fontId="9" fillId="3" borderId="1" xfId="0" applyFont="1" applyFill="1" applyBorder="1" applyAlignment="1" applyProtection="1">
      <alignment horizontal="center" vertical="center"/>
      <protection locked="0"/>
    </xf>
    <xf numFmtId="0" fontId="9" fillId="3" borderId="1" xfId="0" applyFont="1" applyFill="1" applyBorder="1" applyAlignment="1">
      <alignment horizontal="center" vertical="center"/>
    </xf>
    <xf numFmtId="176" fontId="10" fillId="5" borderId="1" xfId="1" applyNumberFormat="1" applyFont="1" applyFill="1" applyBorder="1" applyAlignment="1">
      <alignment horizontal="center" vertical="center"/>
    </xf>
    <xf numFmtId="177" fontId="9" fillId="5" borderId="1" xfId="1" applyNumberFormat="1" applyFont="1" applyFill="1" applyBorder="1" applyAlignment="1">
      <alignment horizontal="center" vertical="center" wrapText="1"/>
    </xf>
    <xf numFmtId="0" fontId="9" fillId="3" borderId="2" xfId="0" applyFont="1" applyFill="1" applyBorder="1" applyAlignment="1" applyProtection="1">
      <alignment horizontal="center" vertical="center" wrapText="1"/>
      <protection locked="0"/>
    </xf>
    <xf numFmtId="0" fontId="9" fillId="3" borderId="3" xfId="0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176" fontId="11" fillId="8" borderId="5" xfId="0" applyNumberFormat="1" applyFont="1" applyFill="1" applyBorder="1" applyAlignment="1" applyProtection="1">
      <alignment horizontal="center" vertical="center"/>
      <protection locked="0"/>
    </xf>
    <xf numFmtId="176" fontId="11" fillId="8" borderId="4" xfId="0" applyNumberFormat="1" applyFont="1" applyFill="1" applyBorder="1" applyAlignment="1" applyProtection="1">
      <alignment horizontal="center" vertical="center"/>
      <protection locked="0"/>
    </xf>
    <xf numFmtId="176" fontId="11" fillId="5" borderId="5" xfId="0" applyNumberFormat="1" applyFont="1" applyFill="1" applyBorder="1" applyAlignment="1">
      <alignment horizontal="center" vertical="center"/>
    </xf>
    <xf numFmtId="176" fontId="11" fillId="5" borderId="4" xfId="0" applyNumberFormat="1" applyFont="1" applyFill="1" applyBorder="1" applyAlignment="1">
      <alignment horizontal="center" vertical="center"/>
    </xf>
    <xf numFmtId="10" fontId="6" fillId="5" borderId="5" xfId="0" applyNumberFormat="1" applyFont="1" applyFill="1" applyBorder="1" applyAlignment="1">
      <alignment horizontal="center" vertical="center"/>
    </xf>
    <xf numFmtId="10" fontId="6" fillId="5" borderId="4" xfId="0" applyNumberFormat="1" applyFont="1" applyFill="1" applyBorder="1" applyAlignment="1">
      <alignment horizontal="center" vertical="center"/>
    </xf>
    <xf numFmtId="0" fontId="9" fillId="3" borderId="5" xfId="0" applyFont="1" applyFill="1" applyBorder="1" applyAlignment="1" applyProtection="1">
      <alignment horizontal="center" vertical="center"/>
      <protection locked="0"/>
    </xf>
    <xf numFmtId="0" fontId="9" fillId="3" borderId="6" xfId="0" applyFont="1" applyFill="1" applyBorder="1" applyAlignment="1" applyProtection="1">
      <alignment horizontal="center" vertical="center"/>
      <protection locked="0"/>
    </xf>
    <xf numFmtId="0" fontId="9" fillId="3" borderId="4" xfId="0" applyFont="1" applyFill="1" applyBorder="1" applyAlignment="1" applyProtection="1">
      <alignment horizontal="center" vertical="center"/>
      <protection locked="0"/>
    </xf>
    <xf numFmtId="177" fontId="10" fillId="5" borderId="1" xfId="0" applyNumberFormat="1" applyFont="1" applyFill="1" applyBorder="1" applyAlignment="1">
      <alignment horizontal="center" vertical="center"/>
    </xf>
    <xf numFmtId="0" fontId="9" fillId="3" borderId="3" xfId="0" applyFont="1" applyFill="1" applyBorder="1" applyAlignment="1" applyProtection="1">
      <alignment horizontal="center" vertical="center" wrapText="1"/>
      <protection locked="0"/>
    </xf>
    <xf numFmtId="177" fontId="6" fillId="3" borderId="5" xfId="0" applyNumberFormat="1" applyFont="1" applyFill="1" applyBorder="1" applyAlignment="1">
      <alignment horizontal="center" vertical="center" wrapText="1" shrinkToFit="1"/>
    </xf>
    <xf numFmtId="177" fontId="6" fillId="3" borderId="4" xfId="0" applyNumberFormat="1" applyFont="1" applyFill="1" applyBorder="1" applyAlignment="1">
      <alignment horizontal="center" vertical="center" wrapText="1" shrinkToFit="1"/>
    </xf>
    <xf numFmtId="177" fontId="2" fillId="5" borderId="5" xfId="0" applyNumberFormat="1" applyFont="1" applyFill="1" applyBorder="1" applyAlignment="1">
      <alignment horizontal="center" vertical="center" shrinkToFit="1"/>
    </xf>
    <xf numFmtId="177" fontId="2" fillId="5" borderId="4" xfId="0" applyNumberFormat="1" applyFont="1" applyFill="1" applyBorder="1" applyAlignment="1">
      <alignment horizontal="center" vertical="center" shrinkToFit="1"/>
    </xf>
    <xf numFmtId="177" fontId="6" fillId="3" borderId="6" xfId="0" applyNumberFormat="1" applyFont="1" applyFill="1" applyBorder="1" applyAlignment="1">
      <alignment horizontal="center" vertical="center" wrapText="1" shrinkToFit="1"/>
    </xf>
    <xf numFmtId="177" fontId="2" fillId="5" borderId="6" xfId="0" applyNumberFormat="1" applyFont="1" applyFill="1" applyBorder="1" applyAlignment="1">
      <alignment horizontal="center" vertical="center" shrinkToFit="1"/>
    </xf>
    <xf numFmtId="10" fontId="6" fillId="5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176" fontId="10" fillId="0" borderId="0" xfId="0" applyNumberFormat="1" applyFont="1" applyAlignment="1">
      <alignment horizontal="left" vertical="top"/>
    </xf>
  </cellXfs>
  <cellStyles count="3">
    <cellStyle name="쉼표 [0]" xfId="1" builtinId="6"/>
    <cellStyle name="통화 [0]" xfId="2" builtinId="7"/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9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W534"/>
  <sheetViews>
    <sheetView tabSelected="1" topLeftCell="A107" zoomScaleNormal="100" zoomScaleSheetLayoutView="75" workbookViewId="0">
      <selection activeCell="Q134" sqref="Q134"/>
    </sheetView>
  </sheetViews>
  <sheetFormatPr defaultColWidth="9" defaultRowHeight="16.5" x14ac:dyDescent="0.3"/>
  <cols>
    <col min="1" max="1" width="3.625" style="2" customWidth="1"/>
    <col min="2" max="2" width="3.125" style="2" customWidth="1"/>
    <col min="3" max="3" width="6.625" style="2" customWidth="1"/>
    <col min="4" max="5" width="4.125" style="2" customWidth="1"/>
    <col min="6" max="6" width="7.625" style="2" customWidth="1"/>
    <col min="7" max="7" width="5.125" style="2" customWidth="1"/>
    <col min="8" max="8" width="6.625" style="2" customWidth="1"/>
    <col min="9" max="21" width="7.625" style="2" customWidth="1"/>
    <col min="22" max="22" width="9.75" style="2" bestFit="1" customWidth="1"/>
    <col min="23" max="23" width="9.25" style="2" customWidth="1"/>
    <col min="24" max="16384" width="9" style="2"/>
  </cols>
  <sheetData>
    <row r="1" spans="1:23" ht="33" customHeight="1" x14ac:dyDescent="0.3">
      <c r="A1" s="26"/>
      <c r="B1" s="26" t="s">
        <v>75</v>
      </c>
      <c r="C1" s="26"/>
      <c r="D1" s="26"/>
      <c r="E1" s="26"/>
      <c r="F1" s="26"/>
      <c r="G1" s="26"/>
      <c r="H1" s="26"/>
      <c r="I1" s="26"/>
      <c r="J1" s="57" t="s">
        <v>92</v>
      </c>
      <c r="K1" s="65" t="s">
        <v>50</v>
      </c>
      <c r="L1" s="65"/>
      <c r="M1" s="65"/>
      <c r="N1" s="65"/>
      <c r="O1" s="65"/>
      <c r="P1" s="26"/>
      <c r="Q1" s="26"/>
      <c r="R1" s="26"/>
      <c r="S1" s="26"/>
      <c r="T1" s="26"/>
      <c r="U1" s="64" t="s">
        <v>5</v>
      </c>
      <c r="V1" s="64"/>
      <c r="W1" s="64"/>
    </row>
    <row r="2" spans="1:23" ht="21.75" customHeight="1" x14ac:dyDescent="0.3">
      <c r="A2" s="72"/>
      <c r="B2" s="72"/>
      <c r="C2" s="82" t="s">
        <v>34</v>
      </c>
      <c r="D2" s="83"/>
      <c r="E2" s="82" t="s">
        <v>7</v>
      </c>
      <c r="F2" s="83"/>
      <c r="G2" s="72" t="s">
        <v>57</v>
      </c>
      <c r="H2" s="72"/>
      <c r="I2" s="39"/>
      <c r="J2" s="66" t="s">
        <v>6</v>
      </c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6"/>
      <c r="W2" s="68"/>
    </row>
    <row r="3" spans="1:23" ht="21.75" customHeight="1" x14ac:dyDescent="0.3">
      <c r="A3" s="72" t="s">
        <v>68</v>
      </c>
      <c r="B3" s="72"/>
      <c r="C3" s="84">
        <v>42000000</v>
      </c>
      <c r="D3" s="85"/>
      <c r="E3" s="84">
        <v>73000000</v>
      </c>
      <c r="F3" s="85"/>
      <c r="G3" s="73">
        <f>SUM(C3:F3)</f>
        <v>115000000</v>
      </c>
      <c r="H3" s="73"/>
      <c r="I3" s="40"/>
      <c r="J3" s="69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66"/>
      <c r="W3" s="71"/>
    </row>
    <row r="4" spans="1:23" ht="21.75" customHeight="1" x14ac:dyDescent="0.3">
      <c r="A4" s="72" t="s">
        <v>40</v>
      </c>
      <c r="B4" s="72"/>
      <c r="C4" s="86">
        <f>SUM(A11:F11)</f>
        <v>15859800</v>
      </c>
      <c r="D4" s="87"/>
      <c r="E4" s="86">
        <f>SUM(G11)</f>
        <v>40865000</v>
      </c>
      <c r="F4" s="87"/>
      <c r="G4" s="73">
        <f>SUM(C4:F4)</f>
        <v>56724800</v>
      </c>
      <c r="H4" s="73"/>
      <c r="I4" s="41"/>
      <c r="J4" s="95" t="s">
        <v>46</v>
      </c>
      <c r="K4" s="96"/>
      <c r="L4" s="95" t="s">
        <v>48</v>
      </c>
      <c r="M4" s="96"/>
      <c r="N4" s="95" t="s">
        <v>38</v>
      </c>
      <c r="O4" s="96"/>
      <c r="P4" s="95" t="s">
        <v>42</v>
      </c>
      <c r="Q4" s="96"/>
      <c r="R4" s="95" t="s">
        <v>28</v>
      </c>
      <c r="S4" s="96"/>
      <c r="T4" s="95" t="s">
        <v>81</v>
      </c>
      <c r="U4" s="99"/>
      <c r="V4" s="95"/>
      <c r="W4" s="96"/>
    </row>
    <row r="5" spans="1:23" ht="21.75" customHeight="1" x14ac:dyDescent="0.3">
      <c r="A5" s="72" t="s">
        <v>62</v>
      </c>
      <c r="B5" s="72"/>
      <c r="C5" s="88">
        <f>IFERROR(SUM(C4/C3),"-")</f>
        <v>0.37761428571428574</v>
      </c>
      <c r="D5" s="89"/>
      <c r="E5" s="88">
        <f>IFERROR(SUM(E4/E3),"-")</f>
        <v>0.55979452054794521</v>
      </c>
      <c r="F5" s="89"/>
      <c r="G5" s="101">
        <f>IFERROR(SUM(G4/G3),"-")</f>
        <v>0.49325913043478259</v>
      </c>
      <c r="H5" s="101"/>
      <c r="I5" s="42"/>
      <c r="J5" s="97">
        <f>SUBTOTAL(109,I15:K494)</f>
        <v>14489800</v>
      </c>
      <c r="K5" s="98"/>
      <c r="L5" s="97">
        <f>SUBTOTAL(109,L15:N494)</f>
        <v>1370000</v>
      </c>
      <c r="M5" s="98"/>
      <c r="N5" s="97">
        <f>SUBTOTAL(109,O15:Q494)</f>
        <v>40865000</v>
      </c>
      <c r="O5" s="98"/>
      <c r="P5" s="97">
        <f>SUBTOTAL(109,R15:T494)</f>
        <v>0</v>
      </c>
      <c r="Q5" s="98"/>
      <c r="R5" s="97">
        <f>SUBTOTAL(109,U15:U494)</f>
        <v>2221000</v>
      </c>
      <c r="S5" s="98"/>
      <c r="T5" s="97">
        <f>SUM(J5:Q5)</f>
        <v>56724800</v>
      </c>
      <c r="U5" s="100"/>
      <c r="V5" s="97"/>
      <c r="W5" s="98"/>
    </row>
    <row r="6" spans="1:23" ht="15" customHeight="1" x14ac:dyDescent="0.3">
      <c r="A6"/>
      <c r="B6"/>
      <c r="C6"/>
      <c r="D6"/>
      <c r="E6"/>
      <c r="F6"/>
      <c r="G6"/>
      <c r="H6"/>
      <c r="I6"/>
      <c r="J6"/>
      <c r="K6"/>
      <c r="L6"/>
      <c r="M6" s="7"/>
      <c r="N6" s="7"/>
      <c r="O6" s="7"/>
      <c r="P6"/>
      <c r="Q6"/>
      <c r="R6"/>
      <c r="S6"/>
      <c r="T6"/>
      <c r="U6"/>
      <c r="V6"/>
      <c r="W6"/>
    </row>
    <row r="7" spans="1:23" ht="15" customHeight="1" x14ac:dyDescent="0.3">
      <c r="A7"/>
      <c r="B7"/>
      <c r="C7"/>
      <c r="D7"/>
      <c r="E7"/>
      <c r="F7" s="11"/>
      <c r="G7" s="11"/>
      <c r="H7"/>
      <c r="I7" s="43"/>
      <c r="J7" s="12"/>
      <c r="K7" s="12" t="s">
        <v>49</v>
      </c>
      <c r="L7" s="12" t="s">
        <v>12</v>
      </c>
      <c r="M7" s="12" t="s">
        <v>22</v>
      </c>
      <c r="N7" s="44" t="s">
        <v>18</v>
      </c>
      <c r="O7" s="12" t="s">
        <v>73</v>
      </c>
      <c r="P7" s="45"/>
      <c r="Q7" s="12"/>
      <c r="R7" s="12" t="s">
        <v>49</v>
      </c>
      <c r="S7" s="12" t="s">
        <v>12</v>
      </c>
      <c r="T7" s="12" t="s">
        <v>22</v>
      </c>
      <c r="U7" s="44" t="s">
        <v>18</v>
      </c>
      <c r="V7" s="44"/>
      <c r="W7" s="12" t="s">
        <v>73</v>
      </c>
    </row>
    <row r="8" spans="1:23" ht="15" customHeight="1" x14ac:dyDescent="0.3">
      <c r="A8"/>
      <c r="B8"/>
      <c r="C8"/>
      <c r="D8"/>
      <c r="E8"/>
      <c r="F8" s="11"/>
      <c r="G8" s="11"/>
      <c r="H8"/>
      <c r="I8" s="43"/>
      <c r="J8" s="35" t="s">
        <v>67</v>
      </c>
      <c r="K8" s="36">
        <f ca="1">SUMPRODUCT(SUBTOTAL(102,OFFSET($D$15,ROW($D$15:$D$514)-ROW($D$15),))*($G$15:$G$514="신규"))</f>
        <v>41</v>
      </c>
      <c r="L8" s="36">
        <f ca="1">SUMPRODUCT(SUBTOTAL(109,OFFSET($I$15,ROW($I$15:$I$514)-ROW($I$15),))*($G$15:$G$514="신규"))+SUMPRODUCT(SUBTOTAL(109,OFFSET($J$15,ROW($J$15:$J$514)-ROW($J$15),))*($G$15:$G$514="신규"))+SUMPRODUCT(SUBTOTAL(109,OFFSET($K$15,ROW($K$15:$K$514)-ROW($K$15),))*($G$15:$G$514="신규"))</f>
        <v>9268300</v>
      </c>
      <c r="M8" s="37">
        <f ca="1">SUMPRODUCT(SUBTOTAL(102,OFFSET($D$15,ROW($D$15:$D$514)-ROW($D$15),))*($G$15:$G$514="재등록"))</f>
        <v>15</v>
      </c>
      <c r="N8" s="37">
        <f ca="1">SUMPRODUCT(SUBTOTAL(109,OFFSET($I$15,ROW($I$15:$I$514)-ROW($I$15),))*($G$15:$G$514="재등록"))+SUMPRODUCT(SUBTOTAL(109,OFFSET($J$15,ROW($J$15:$J$514)-ROW($J$15),))*($G$15:$G$514="재등록"))+SUMPRODUCT(SUBTOTAL(109,OFFSET($K$15,ROW($K$15:$K$514)-ROW($K$15),))*($G$15:$G$514="재등록"))</f>
        <v>4980600</v>
      </c>
      <c r="O8" s="37">
        <f>IFERROR(SUBTOTAL(109,I15:I514,J15:J514,K15:K514)/SUBTOTAL(109,D15:D514),"-")</f>
        <v>40931.638418079099</v>
      </c>
      <c r="P8" s="45"/>
      <c r="Q8" s="35" t="s">
        <v>71</v>
      </c>
      <c r="R8" s="36">
        <f ca="1">SUMPRODUCT(SUBTOTAL(102,OFFSET($E$15,ROW($E$15:$E$514)-ROW($E$15),))*($G$15:$G$514="신규"))</f>
        <v>16</v>
      </c>
      <c r="S8" s="36">
        <f ca="1">SUMPRODUCT(SUBTOTAL(109,OFFSET($O$15,ROW($O$15:$O$514)-ROW($O$15),))*($G$15:$G$514="신규"))+SUMPRODUCT(SUBTOTAL(109,OFFSET($P$15,ROW($P$15:$P$514)-ROW($P$15),))*($G$15:$G$514="신규"))+SUMPRODUCT(SUBTOTAL(109,OFFSET($Q$15,ROW($Q$15:$Q$514)-ROW($Q$15),))*($G$15:$G$514="신규"))</f>
        <v>18045000</v>
      </c>
      <c r="T8" s="37">
        <f ca="1">SUMPRODUCT(SUBTOTAL(102,OFFSET($E$15,ROW($E$15:$E$514)-ROW($E$15),))*($G$15:$G$514="재등록"))</f>
        <v>11</v>
      </c>
      <c r="U8" s="37">
        <f ca="1">SUMPRODUCT(SUBTOTAL(109,OFFSET($O$15,ROW($O$15:$O$514)-ROW($O$15),))*($G$15:$G$514="재등록"))+SUMPRODUCT(SUBTOTAL(109,OFFSET($P$15,ROW($P$15:$P$514)-ROW($P$15),))*($G$15:$G$514="재등록"))+SUMPRODUCT(SUBTOTAL(109,OFFSET($Q$15,ROW($Q$15:$Q$514)-ROW($Q$15),))*($G$15:$G$514="재등록"))</f>
        <v>22820000</v>
      </c>
      <c r="V8" s="37"/>
      <c r="W8" s="37">
        <f>IFERROR(SUBTOTAL(109,O15:O514,P15:P514,Q15:Q514)/SUBTOTAL(109,E15:E514),"-")</f>
        <v>58629.842180774751</v>
      </c>
    </row>
    <row r="9" spans="1:23" ht="15" customHeight="1" x14ac:dyDescent="0.3">
      <c r="A9"/>
      <c r="B9"/>
      <c r="C9"/>
      <c r="D9"/>
      <c r="E9"/>
      <c r="F9"/>
      <c r="G9"/>
      <c r="H9"/>
      <c r="I9"/>
      <c r="J9"/>
      <c r="K9"/>
      <c r="L9"/>
      <c r="M9" s="7"/>
      <c r="N9" s="7"/>
      <c r="O9" s="7"/>
      <c r="P9"/>
      <c r="Q9"/>
      <c r="R9"/>
      <c r="S9"/>
      <c r="T9"/>
      <c r="U9"/>
      <c r="V9"/>
      <c r="W9"/>
    </row>
    <row r="10" spans="1:23" ht="15" customHeight="1" x14ac:dyDescent="0.3">
      <c r="A10" s="77" t="s">
        <v>46</v>
      </c>
      <c r="B10" s="77"/>
      <c r="C10" s="77"/>
      <c r="D10" s="77" t="s">
        <v>36</v>
      </c>
      <c r="E10" s="77"/>
      <c r="F10" s="77"/>
      <c r="G10" s="77" t="s">
        <v>7</v>
      </c>
      <c r="H10" s="77"/>
      <c r="I10" s="77" t="s">
        <v>44</v>
      </c>
      <c r="J10" s="77"/>
      <c r="K10" s="77" t="s">
        <v>42</v>
      </c>
      <c r="L10" s="77"/>
      <c r="M10" s="77" t="s">
        <v>16</v>
      </c>
      <c r="N10" s="77"/>
      <c r="O10" s="77" t="s">
        <v>14</v>
      </c>
      <c r="P10" s="77"/>
      <c r="Q10" s="77" t="s">
        <v>13</v>
      </c>
      <c r="R10" s="77"/>
      <c r="S10" s="77" t="s">
        <v>28</v>
      </c>
      <c r="T10" s="77"/>
      <c r="U10" s="77" t="s">
        <v>2</v>
      </c>
      <c r="V10" s="77"/>
      <c r="W10" s="77"/>
    </row>
    <row r="11" spans="1:23" ht="15" customHeight="1" x14ac:dyDescent="0.3">
      <c r="A11" s="78">
        <f>SUM(I15:K514)+SUM(R15:R514)</f>
        <v>14489800</v>
      </c>
      <c r="B11" s="78"/>
      <c r="C11" s="78"/>
      <c r="D11" s="78">
        <f>SUM(L15:N514)+SUM(S15:S514)</f>
        <v>1370000</v>
      </c>
      <c r="E11" s="78"/>
      <c r="F11" s="78"/>
      <c r="G11" s="78">
        <f>SUM(O15:Q514)+SUM(T15:T514)</f>
        <v>40865000</v>
      </c>
      <c r="H11" s="78"/>
      <c r="I11" s="79">
        <f>A11+D11+G11</f>
        <v>56724800</v>
      </c>
      <c r="J11" s="79"/>
      <c r="K11" s="79">
        <f>SUM(R15:T494)</f>
        <v>0</v>
      </c>
      <c r="L11" s="79"/>
      <c r="M11" s="93">
        <f>SUM(I515,L515,O515)</f>
        <v>52942800</v>
      </c>
      <c r="N11" s="93"/>
      <c r="O11" s="74">
        <f>SUM(J515,M515,P515)</f>
        <v>241000</v>
      </c>
      <c r="P11" s="74"/>
      <c r="Q11" s="74">
        <f>SUM(K515,N515,Q515)</f>
        <v>3541000</v>
      </c>
      <c r="R11" s="74"/>
      <c r="S11" s="78">
        <f>SUM(U15:U494)</f>
        <v>2221000</v>
      </c>
      <c r="T11" s="78"/>
      <c r="U11" s="74">
        <f>O11+Q11-S11</f>
        <v>1561000</v>
      </c>
      <c r="V11" s="74"/>
      <c r="W11" s="74"/>
    </row>
    <row r="12" spans="1:23" ht="6" customHeigh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4"/>
      <c r="M12" s="4"/>
      <c r="N12" s="4"/>
      <c r="O12" s="5"/>
      <c r="P12" s="5"/>
      <c r="Q12" s="5"/>
      <c r="R12" s="6"/>
      <c r="S12" s="3"/>
      <c r="T12" s="3"/>
      <c r="U12" s="3"/>
      <c r="V12" s="3"/>
      <c r="W12" s="6"/>
    </row>
    <row r="13" spans="1:23" ht="18" customHeight="1" x14ac:dyDescent="0.3">
      <c r="A13" s="76" t="s">
        <v>63</v>
      </c>
      <c r="B13" s="76" t="s">
        <v>77</v>
      </c>
      <c r="C13" s="76" t="s">
        <v>70</v>
      </c>
      <c r="D13" s="80" t="s">
        <v>51</v>
      </c>
      <c r="E13" s="80" t="s">
        <v>27</v>
      </c>
      <c r="F13" s="75" t="s">
        <v>82</v>
      </c>
      <c r="G13" s="52" t="s">
        <v>61</v>
      </c>
      <c r="H13" s="76" t="s">
        <v>74</v>
      </c>
      <c r="I13" s="90" t="s">
        <v>46</v>
      </c>
      <c r="J13" s="91"/>
      <c r="K13" s="92"/>
      <c r="L13" s="90" t="s">
        <v>36</v>
      </c>
      <c r="M13" s="91"/>
      <c r="N13" s="92"/>
      <c r="O13" s="90" t="s">
        <v>7</v>
      </c>
      <c r="P13" s="91"/>
      <c r="Q13" s="92"/>
      <c r="R13" s="75" t="s">
        <v>53</v>
      </c>
      <c r="S13" s="75"/>
      <c r="T13" s="75"/>
      <c r="U13" s="75" t="s">
        <v>3</v>
      </c>
      <c r="V13" s="80" t="s">
        <v>78</v>
      </c>
      <c r="W13" s="76" t="s">
        <v>30</v>
      </c>
    </row>
    <row r="14" spans="1:23" ht="18" customHeight="1" x14ac:dyDescent="0.3">
      <c r="A14" s="76"/>
      <c r="B14" s="76"/>
      <c r="C14" s="76"/>
      <c r="D14" s="81"/>
      <c r="E14" s="94"/>
      <c r="F14" s="76"/>
      <c r="G14" s="53" t="s">
        <v>60</v>
      </c>
      <c r="H14" s="76"/>
      <c r="I14" s="51" t="s">
        <v>80</v>
      </c>
      <c r="J14" s="51" t="s">
        <v>31</v>
      </c>
      <c r="K14" s="51" t="s">
        <v>79</v>
      </c>
      <c r="L14" s="51" t="s">
        <v>80</v>
      </c>
      <c r="M14" s="51" t="s">
        <v>31</v>
      </c>
      <c r="N14" s="51" t="s">
        <v>79</v>
      </c>
      <c r="O14" s="51" t="s">
        <v>80</v>
      </c>
      <c r="P14" s="51" t="s">
        <v>31</v>
      </c>
      <c r="Q14" s="51" t="s">
        <v>79</v>
      </c>
      <c r="R14" s="51" t="s">
        <v>67</v>
      </c>
      <c r="S14" s="51" t="s">
        <v>82</v>
      </c>
      <c r="T14" s="51" t="s">
        <v>71</v>
      </c>
      <c r="U14" s="76"/>
      <c r="V14" s="94"/>
      <c r="W14" s="76"/>
    </row>
    <row r="15" spans="1:23" ht="11.25" customHeight="1" x14ac:dyDescent="0.3">
      <c r="A15" s="20">
        <f>ROW()-14</f>
        <v>1</v>
      </c>
      <c r="B15" s="29">
        <v>1</v>
      </c>
      <c r="C15" s="29" t="s">
        <v>93</v>
      </c>
      <c r="D15" s="29"/>
      <c r="E15" s="29"/>
      <c r="F15" s="58" t="s">
        <v>94</v>
      </c>
      <c r="G15" s="58" t="s">
        <v>95</v>
      </c>
      <c r="H15" s="29" t="s">
        <v>96</v>
      </c>
      <c r="I15" s="29"/>
      <c r="J15" s="29"/>
      <c r="K15" s="29"/>
      <c r="L15" s="29">
        <v>20000</v>
      </c>
      <c r="M15" s="29"/>
      <c r="N15" s="47"/>
      <c r="O15" s="29"/>
      <c r="P15" s="29"/>
      <c r="Q15" s="29"/>
      <c r="R15" s="60"/>
      <c r="S15" s="29"/>
      <c r="T15" s="29"/>
      <c r="U15" s="61"/>
      <c r="V15" s="62"/>
      <c r="W15" s="49" t="s">
        <v>97</v>
      </c>
    </row>
    <row r="16" spans="1:23" ht="11.25" customHeight="1" x14ac:dyDescent="0.3">
      <c r="A16" s="20">
        <f t="shared" ref="A16:A81" si="0">ROW()-14</f>
        <v>2</v>
      </c>
      <c r="B16" s="29">
        <v>1</v>
      </c>
      <c r="C16" s="29" t="s">
        <v>98</v>
      </c>
      <c r="D16" s="29">
        <v>12</v>
      </c>
      <c r="E16" s="29"/>
      <c r="F16" s="58"/>
      <c r="G16" s="58" t="s">
        <v>99</v>
      </c>
      <c r="H16" s="29" t="s">
        <v>100</v>
      </c>
      <c r="I16" s="29">
        <v>429000</v>
      </c>
      <c r="J16" s="29"/>
      <c r="K16" s="29"/>
      <c r="L16" s="29">
        <v>33000</v>
      </c>
      <c r="M16" s="29"/>
      <c r="N16" s="47"/>
      <c r="O16" s="29"/>
      <c r="P16" s="29"/>
      <c r="Q16" s="29"/>
      <c r="R16" s="60"/>
      <c r="S16" s="29"/>
      <c r="T16" s="29"/>
      <c r="U16" s="61"/>
      <c r="V16" s="62"/>
      <c r="W16" s="49" t="s">
        <v>101</v>
      </c>
    </row>
    <row r="17" spans="1:23" ht="11.25" customHeight="1" x14ac:dyDescent="0.3">
      <c r="A17" s="20">
        <f t="shared" si="0"/>
        <v>3</v>
      </c>
      <c r="B17" s="29">
        <v>2</v>
      </c>
      <c r="C17" s="29" t="s">
        <v>102</v>
      </c>
      <c r="D17" s="29">
        <v>12</v>
      </c>
      <c r="E17" s="29"/>
      <c r="F17" s="58"/>
      <c r="G17" s="58" t="s">
        <v>103</v>
      </c>
      <c r="H17" s="29" t="s">
        <v>104</v>
      </c>
      <c r="I17" s="29">
        <v>429000</v>
      </c>
      <c r="J17" s="29"/>
      <c r="K17" s="29"/>
      <c r="L17" s="29"/>
      <c r="M17" s="29"/>
      <c r="N17" s="47"/>
      <c r="O17" s="29"/>
      <c r="P17" s="29"/>
      <c r="Q17" s="29"/>
      <c r="R17" s="60"/>
      <c r="S17" s="29"/>
      <c r="T17" s="29"/>
      <c r="U17" s="61"/>
      <c r="V17" s="62"/>
      <c r="W17" s="49" t="s">
        <v>105</v>
      </c>
    </row>
    <row r="18" spans="1:23" ht="11.25" customHeight="1" x14ac:dyDescent="0.3">
      <c r="A18" s="20">
        <f t="shared" si="0"/>
        <v>4</v>
      </c>
      <c r="B18" s="29">
        <v>2</v>
      </c>
      <c r="C18" s="29" t="s">
        <v>106</v>
      </c>
      <c r="D18" s="29">
        <v>4</v>
      </c>
      <c r="E18" s="29"/>
      <c r="F18" s="58"/>
      <c r="G18" s="58" t="s">
        <v>107</v>
      </c>
      <c r="H18" s="29" t="s">
        <v>108</v>
      </c>
      <c r="I18" s="29">
        <v>207900</v>
      </c>
      <c r="J18" s="29"/>
      <c r="K18" s="29"/>
      <c r="L18" s="29"/>
      <c r="M18" s="29"/>
      <c r="N18" s="47"/>
      <c r="O18" s="29"/>
      <c r="P18" s="29"/>
      <c r="Q18" s="29"/>
      <c r="R18" s="60"/>
      <c r="S18" s="29"/>
      <c r="T18" s="29"/>
      <c r="U18" s="61"/>
      <c r="V18" s="62"/>
      <c r="W18" s="49" t="s">
        <v>109</v>
      </c>
    </row>
    <row r="19" spans="1:23" ht="11.25" customHeight="1" x14ac:dyDescent="0.3">
      <c r="A19" s="20">
        <v>5</v>
      </c>
      <c r="B19" s="29">
        <v>2</v>
      </c>
      <c r="C19" s="29" t="s">
        <v>110</v>
      </c>
      <c r="D19" s="29">
        <v>1</v>
      </c>
      <c r="E19" s="29"/>
      <c r="F19" s="58" t="s">
        <v>111</v>
      </c>
      <c r="G19" s="58" t="s">
        <v>107</v>
      </c>
      <c r="H19" s="29" t="s">
        <v>108</v>
      </c>
      <c r="I19" s="29">
        <v>154000</v>
      </c>
      <c r="J19" s="29"/>
      <c r="K19" s="29"/>
      <c r="L19" s="29">
        <v>11000</v>
      </c>
      <c r="M19" s="29"/>
      <c r="N19" s="47"/>
      <c r="O19" s="29"/>
      <c r="P19" s="29"/>
      <c r="Q19" s="29"/>
      <c r="R19" s="60"/>
      <c r="S19" s="29"/>
      <c r="T19" s="29"/>
      <c r="U19" s="61"/>
      <c r="V19" s="62"/>
      <c r="W19" s="49" t="s">
        <v>112</v>
      </c>
    </row>
    <row r="20" spans="1:23" ht="11.25" customHeight="1" x14ac:dyDescent="0.3">
      <c r="A20" s="20">
        <f t="shared" si="0"/>
        <v>6</v>
      </c>
      <c r="B20" s="29">
        <v>2</v>
      </c>
      <c r="C20" s="29" t="s">
        <v>113</v>
      </c>
      <c r="D20" s="29">
        <v>2</v>
      </c>
      <c r="E20" s="29"/>
      <c r="F20" s="58" t="s">
        <v>115</v>
      </c>
      <c r="G20" s="58" t="s">
        <v>114</v>
      </c>
      <c r="H20" s="29" t="s">
        <v>100</v>
      </c>
      <c r="I20" s="29">
        <v>69000</v>
      </c>
      <c r="J20" s="29"/>
      <c r="K20" s="29"/>
      <c r="L20" s="29">
        <v>44000</v>
      </c>
      <c r="M20" s="29"/>
      <c r="N20" s="47"/>
      <c r="O20" s="29"/>
      <c r="P20" s="29"/>
      <c r="Q20" s="29"/>
      <c r="R20" s="60"/>
      <c r="S20" s="29"/>
      <c r="T20" s="29"/>
      <c r="U20" s="61"/>
      <c r="V20" s="62"/>
      <c r="W20" s="49" t="s">
        <v>116</v>
      </c>
    </row>
    <row r="21" spans="1:23" ht="11.25" customHeight="1" x14ac:dyDescent="0.3">
      <c r="A21" s="20">
        <f t="shared" si="0"/>
        <v>7</v>
      </c>
      <c r="B21" s="29">
        <v>2</v>
      </c>
      <c r="C21" s="29" t="s">
        <v>113</v>
      </c>
      <c r="D21" s="29"/>
      <c r="E21" s="29">
        <v>4</v>
      </c>
      <c r="F21" s="58"/>
      <c r="G21" s="58" t="s">
        <v>99</v>
      </c>
      <c r="H21" s="29" t="s">
        <v>117</v>
      </c>
      <c r="I21" s="29"/>
      <c r="J21" s="29"/>
      <c r="K21" s="29"/>
      <c r="L21" s="29"/>
      <c r="M21" s="29"/>
      <c r="N21" s="47"/>
      <c r="O21" s="29">
        <v>80000</v>
      </c>
      <c r="P21" s="29"/>
      <c r="Q21" s="29"/>
      <c r="R21" s="60"/>
      <c r="S21" s="29"/>
      <c r="T21" s="29"/>
      <c r="U21" s="61"/>
      <c r="V21" s="62"/>
      <c r="W21" s="49" t="s">
        <v>262</v>
      </c>
    </row>
    <row r="22" spans="1:23" ht="11.25" customHeight="1" x14ac:dyDescent="0.3">
      <c r="A22" s="20">
        <f t="shared" si="0"/>
        <v>8</v>
      </c>
      <c r="B22" s="29">
        <v>3</v>
      </c>
      <c r="C22" s="29" t="s">
        <v>118</v>
      </c>
      <c r="D22" s="29">
        <v>6</v>
      </c>
      <c r="E22" s="29"/>
      <c r="F22" s="58"/>
      <c r="G22" s="58" t="s">
        <v>119</v>
      </c>
      <c r="H22" s="29" t="s">
        <v>120</v>
      </c>
      <c r="I22" s="29">
        <v>240000</v>
      </c>
      <c r="J22" s="29"/>
      <c r="K22" s="29"/>
      <c r="L22" s="29"/>
      <c r="M22" s="29"/>
      <c r="N22" s="47"/>
      <c r="O22" s="29"/>
      <c r="P22" s="29"/>
      <c r="Q22" s="29"/>
      <c r="R22" s="60"/>
      <c r="S22" s="29"/>
      <c r="T22" s="29"/>
      <c r="U22" s="61"/>
      <c r="V22" s="62"/>
      <c r="W22" s="49" t="s">
        <v>121</v>
      </c>
    </row>
    <row r="23" spans="1:23" ht="11.25" customHeight="1" x14ac:dyDescent="0.3">
      <c r="A23" s="20">
        <f t="shared" si="0"/>
        <v>9</v>
      </c>
      <c r="B23" s="29">
        <v>3</v>
      </c>
      <c r="C23" s="29" t="s">
        <v>122</v>
      </c>
      <c r="D23" s="29">
        <v>6</v>
      </c>
      <c r="E23" s="29"/>
      <c r="F23" s="58"/>
      <c r="G23" s="58" t="s">
        <v>119</v>
      </c>
      <c r="H23" s="29" t="s">
        <v>120</v>
      </c>
      <c r="I23" s="29">
        <v>240000</v>
      </c>
      <c r="J23" s="29"/>
      <c r="K23" s="29"/>
      <c r="L23" s="29"/>
      <c r="M23" s="29"/>
      <c r="N23" s="47"/>
      <c r="O23" s="29"/>
      <c r="P23" s="29"/>
      <c r="Q23" s="29"/>
      <c r="R23" s="60"/>
      <c r="S23" s="29"/>
      <c r="T23" s="29"/>
      <c r="U23" s="61"/>
      <c r="V23" s="62"/>
      <c r="W23" s="49" t="s">
        <v>121</v>
      </c>
    </row>
    <row r="24" spans="1:23" ht="11.25" customHeight="1" x14ac:dyDescent="0.3">
      <c r="A24" s="20">
        <f t="shared" si="0"/>
        <v>10</v>
      </c>
      <c r="B24" s="29">
        <v>3</v>
      </c>
      <c r="C24" s="29" t="s">
        <v>123</v>
      </c>
      <c r="D24" s="29">
        <v>1</v>
      </c>
      <c r="E24" s="29"/>
      <c r="F24" s="58"/>
      <c r="G24" s="58" t="s">
        <v>119</v>
      </c>
      <c r="H24" s="29" t="s">
        <v>120</v>
      </c>
      <c r="I24" s="29">
        <v>64000</v>
      </c>
      <c r="J24" s="29"/>
      <c r="K24" s="29"/>
      <c r="L24" s="29"/>
      <c r="M24" s="29"/>
      <c r="N24" s="47"/>
      <c r="O24" s="29"/>
      <c r="P24" s="29"/>
      <c r="Q24" s="29"/>
      <c r="R24" s="60"/>
      <c r="S24" s="29"/>
      <c r="T24" s="29"/>
      <c r="U24" s="61"/>
      <c r="V24" s="62"/>
      <c r="W24" s="49" t="s">
        <v>121</v>
      </c>
    </row>
    <row r="25" spans="1:23" ht="11.25" customHeight="1" x14ac:dyDescent="0.3">
      <c r="A25" s="20">
        <f t="shared" si="0"/>
        <v>11</v>
      </c>
      <c r="B25" s="29">
        <v>3</v>
      </c>
      <c r="C25" s="29" t="s">
        <v>124</v>
      </c>
      <c r="D25" s="29"/>
      <c r="E25" s="29">
        <v>10</v>
      </c>
      <c r="F25" s="58"/>
      <c r="G25" s="58" t="s">
        <v>119</v>
      </c>
      <c r="H25" s="29" t="s">
        <v>142</v>
      </c>
      <c r="I25" s="29"/>
      <c r="J25" s="29"/>
      <c r="K25" s="29"/>
      <c r="L25" s="29"/>
      <c r="M25" s="29"/>
      <c r="N25" s="47"/>
      <c r="O25" s="29">
        <v>600000</v>
      </c>
      <c r="P25" s="29"/>
      <c r="Q25" s="29"/>
      <c r="R25" s="60"/>
      <c r="S25" s="29"/>
      <c r="T25" s="29"/>
      <c r="U25" s="61"/>
      <c r="V25" s="62"/>
      <c r="W25" s="49" t="s">
        <v>121</v>
      </c>
    </row>
    <row r="26" spans="1:23" ht="11.25" customHeight="1" x14ac:dyDescent="0.3">
      <c r="A26" s="20">
        <f t="shared" si="0"/>
        <v>12</v>
      </c>
      <c r="B26" s="29">
        <v>3</v>
      </c>
      <c r="C26" s="29" t="s">
        <v>125</v>
      </c>
      <c r="D26" s="29">
        <v>12</v>
      </c>
      <c r="E26" s="29"/>
      <c r="F26" s="58"/>
      <c r="G26" s="58" t="s">
        <v>126</v>
      </c>
      <c r="H26" s="29" t="s">
        <v>120</v>
      </c>
      <c r="I26" s="29">
        <v>360000</v>
      </c>
      <c r="J26" s="29"/>
      <c r="K26" s="29"/>
      <c r="L26" s="29"/>
      <c r="M26" s="29"/>
      <c r="N26" s="47"/>
      <c r="O26" s="29"/>
      <c r="P26" s="29"/>
      <c r="Q26" s="29"/>
      <c r="R26" s="60"/>
      <c r="S26" s="29"/>
      <c r="T26" s="29"/>
      <c r="U26" s="61"/>
      <c r="V26" s="62"/>
      <c r="W26" s="49" t="s">
        <v>127</v>
      </c>
    </row>
    <row r="27" spans="1:23" ht="11.25" customHeight="1" x14ac:dyDescent="0.3">
      <c r="A27" s="20">
        <f t="shared" si="0"/>
        <v>13</v>
      </c>
      <c r="B27" s="29">
        <v>3</v>
      </c>
      <c r="C27" s="29" t="s">
        <v>128</v>
      </c>
      <c r="D27" s="29">
        <v>4</v>
      </c>
      <c r="E27" s="29"/>
      <c r="F27" s="58"/>
      <c r="G27" s="58" t="s">
        <v>119</v>
      </c>
      <c r="H27" s="29" t="s">
        <v>120</v>
      </c>
      <c r="I27" s="29">
        <v>304700</v>
      </c>
      <c r="J27" s="29"/>
      <c r="K27" s="29"/>
      <c r="L27" s="29"/>
      <c r="M27" s="29"/>
      <c r="N27" s="47"/>
      <c r="O27" s="29"/>
      <c r="P27" s="29"/>
      <c r="Q27" s="29"/>
      <c r="R27" s="60"/>
      <c r="S27" s="29"/>
      <c r="T27" s="29"/>
      <c r="U27" s="61"/>
      <c r="V27" s="62"/>
      <c r="W27" s="49" t="s">
        <v>129</v>
      </c>
    </row>
    <row r="28" spans="1:23" ht="11.25" customHeight="1" x14ac:dyDescent="0.3">
      <c r="A28" s="20">
        <f t="shared" si="0"/>
        <v>14</v>
      </c>
      <c r="B28" s="29">
        <v>3</v>
      </c>
      <c r="C28" s="29" t="s">
        <v>130</v>
      </c>
      <c r="D28" s="29"/>
      <c r="E28" s="29"/>
      <c r="F28" s="58" t="s">
        <v>131</v>
      </c>
      <c r="G28" s="58" t="s">
        <v>126</v>
      </c>
      <c r="H28" s="29" t="s">
        <v>120</v>
      </c>
      <c r="I28" s="29"/>
      <c r="J28" s="29"/>
      <c r="K28" s="29"/>
      <c r="L28" s="29">
        <v>20000</v>
      </c>
      <c r="M28" s="29"/>
      <c r="N28" s="47"/>
      <c r="O28" s="29"/>
      <c r="P28" s="29"/>
      <c r="Q28" s="29"/>
      <c r="R28" s="60"/>
      <c r="S28" s="29"/>
      <c r="T28" s="29"/>
      <c r="U28" s="61"/>
      <c r="V28" s="62"/>
      <c r="W28" s="49" t="s">
        <v>132</v>
      </c>
    </row>
    <row r="29" spans="1:23" ht="11.25" customHeight="1" x14ac:dyDescent="0.3">
      <c r="A29" s="20">
        <f t="shared" si="0"/>
        <v>15</v>
      </c>
      <c r="B29" s="29">
        <v>3</v>
      </c>
      <c r="C29" s="29" t="s">
        <v>133</v>
      </c>
      <c r="D29" s="29"/>
      <c r="E29" s="29"/>
      <c r="F29" s="58" t="s">
        <v>134</v>
      </c>
      <c r="G29" s="58" t="s">
        <v>119</v>
      </c>
      <c r="H29" s="29" t="s">
        <v>120</v>
      </c>
      <c r="I29" s="29"/>
      <c r="J29" s="29"/>
      <c r="K29" s="29"/>
      <c r="L29" s="29">
        <v>11000</v>
      </c>
      <c r="M29" s="29"/>
      <c r="N29" s="47"/>
      <c r="O29" s="29"/>
      <c r="P29" s="29"/>
      <c r="Q29" s="29"/>
      <c r="R29" s="60"/>
      <c r="S29" s="29"/>
      <c r="T29" s="29"/>
      <c r="U29" s="61"/>
      <c r="V29" s="62"/>
      <c r="W29" s="49" t="s">
        <v>121</v>
      </c>
    </row>
    <row r="30" spans="1:23" ht="11.25" customHeight="1" x14ac:dyDescent="0.3">
      <c r="A30" s="20">
        <f t="shared" si="0"/>
        <v>16</v>
      </c>
      <c r="B30" s="29">
        <v>3</v>
      </c>
      <c r="C30" s="29" t="s">
        <v>135</v>
      </c>
      <c r="D30" s="29"/>
      <c r="E30" s="29"/>
      <c r="F30" s="58" t="s">
        <v>136</v>
      </c>
      <c r="G30" s="58"/>
      <c r="H30" s="29" t="s">
        <v>137</v>
      </c>
      <c r="I30" s="29"/>
      <c r="J30" s="29"/>
      <c r="K30" s="29"/>
      <c r="L30" s="29"/>
      <c r="M30" s="29"/>
      <c r="N30" s="47"/>
      <c r="O30" s="29">
        <v>-3000000</v>
      </c>
      <c r="P30" s="47"/>
      <c r="Q30" s="29"/>
      <c r="R30" s="60"/>
      <c r="S30" s="29"/>
      <c r="T30" s="29"/>
      <c r="U30" s="61"/>
      <c r="V30" s="62"/>
      <c r="W30" s="49" t="s">
        <v>132</v>
      </c>
    </row>
    <row r="31" spans="1:23" ht="11.25" customHeight="1" x14ac:dyDescent="0.3">
      <c r="A31" s="20">
        <f t="shared" si="0"/>
        <v>17</v>
      </c>
      <c r="B31" s="29">
        <v>3</v>
      </c>
      <c r="C31" s="29" t="s">
        <v>135</v>
      </c>
      <c r="D31" s="29"/>
      <c r="E31" s="29"/>
      <c r="F31" s="58" t="s">
        <v>136</v>
      </c>
      <c r="G31" s="58"/>
      <c r="H31" s="29" t="s">
        <v>137</v>
      </c>
      <c r="I31" s="29"/>
      <c r="J31" s="29"/>
      <c r="K31" s="29"/>
      <c r="L31" s="29"/>
      <c r="M31" s="29"/>
      <c r="N31" s="47"/>
      <c r="O31" s="29">
        <v>3000000</v>
      </c>
      <c r="P31" s="29"/>
      <c r="Q31" s="29"/>
      <c r="R31" s="60"/>
      <c r="S31" s="29"/>
      <c r="T31" s="29"/>
      <c r="U31" s="61"/>
      <c r="V31" s="62"/>
      <c r="W31" s="49" t="s">
        <v>138</v>
      </c>
    </row>
    <row r="32" spans="1:23" ht="11.25" customHeight="1" x14ac:dyDescent="0.3">
      <c r="A32" s="20">
        <f t="shared" si="0"/>
        <v>18</v>
      </c>
      <c r="B32" s="29">
        <v>3</v>
      </c>
      <c r="C32" s="29" t="s">
        <v>139</v>
      </c>
      <c r="D32" s="29"/>
      <c r="E32" s="29"/>
      <c r="F32" s="58" t="s">
        <v>136</v>
      </c>
      <c r="G32" s="58"/>
      <c r="H32" s="29" t="s">
        <v>140</v>
      </c>
      <c r="I32" s="29">
        <v>-690000</v>
      </c>
      <c r="J32" s="29"/>
      <c r="K32" s="29"/>
      <c r="L32" s="29"/>
      <c r="M32" s="29"/>
      <c r="N32" s="47"/>
      <c r="O32" s="29">
        <v>-1000000</v>
      </c>
      <c r="P32" s="47"/>
      <c r="Q32" s="29"/>
      <c r="R32" s="60"/>
      <c r="S32" s="29"/>
      <c r="T32" s="29"/>
      <c r="U32" s="61"/>
      <c r="V32" s="62"/>
      <c r="W32" s="49" t="s">
        <v>141</v>
      </c>
    </row>
    <row r="33" spans="1:23" ht="11.25" customHeight="1" x14ac:dyDescent="0.3">
      <c r="A33" s="20">
        <f t="shared" si="0"/>
        <v>19</v>
      </c>
      <c r="B33" s="29">
        <v>3</v>
      </c>
      <c r="C33" s="29" t="s">
        <v>139</v>
      </c>
      <c r="D33" s="29"/>
      <c r="E33" s="29"/>
      <c r="F33" s="58" t="s">
        <v>136</v>
      </c>
      <c r="G33" s="58"/>
      <c r="H33" s="29" t="s">
        <v>140</v>
      </c>
      <c r="I33" s="29">
        <v>690000</v>
      </c>
      <c r="J33" s="29"/>
      <c r="K33" s="29"/>
      <c r="L33" s="29"/>
      <c r="M33" s="29"/>
      <c r="N33" s="47"/>
      <c r="O33" s="29">
        <v>1000000</v>
      </c>
      <c r="P33" s="29"/>
      <c r="Q33" s="29"/>
      <c r="R33" s="60"/>
      <c r="S33" s="29"/>
      <c r="T33" s="29"/>
      <c r="U33" s="61"/>
      <c r="V33" s="62"/>
      <c r="W33" s="49" t="s">
        <v>127</v>
      </c>
    </row>
    <row r="34" spans="1:23" ht="11.25" customHeight="1" x14ac:dyDescent="0.3">
      <c r="A34" s="20">
        <f t="shared" si="0"/>
        <v>20</v>
      </c>
      <c r="B34" s="29">
        <v>4</v>
      </c>
      <c r="C34" s="29" t="s">
        <v>143</v>
      </c>
      <c r="D34" s="29"/>
      <c r="E34" s="29"/>
      <c r="F34" s="58" t="s">
        <v>144</v>
      </c>
      <c r="G34" s="58" t="s">
        <v>145</v>
      </c>
      <c r="H34" s="29" t="s">
        <v>146</v>
      </c>
      <c r="I34" s="29"/>
      <c r="J34" s="29"/>
      <c r="K34" s="29"/>
      <c r="L34" s="29">
        <v>60000</v>
      </c>
      <c r="M34" s="29"/>
      <c r="N34" s="47"/>
      <c r="O34" s="29"/>
      <c r="P34" s="29"/>
      <c r="Q34" s="29"/>
      <c r="R34" s="60"/>
      <c r="S34" s="29"/>
      <c r="T34" s="29"/>
      <c r="U34" s="61"/>
      <c r="V34" s="62"/>
      <c r="W34" s="49" t="s">
        <v>147</v>
      </c>
    </row>
    <row r="35" spans="1:23" ht="11.25" customHeight="1" x14ac:dyDescent="0.3">
      <c r="A35" s="20">
        <f t="shared" si="0"/>
        <v>21</v>
      </c>
      <c r="B35" s="29">
        <v>4</v>
      </c>
      <c r="C35" s="29" t="s">
        <v>148</v>
      </c>
      <c r="D35" s="29">
        <v>4</v>
      </c>
      <c r="E35" s="29"/>
      <c r="F35" s="58" t="s">
        <v>149</v>
      </c>
      <c r="G35" s="58" t="s">
        <v>145</v>
      </c>
      <c r="H35" s="29" t="s">
        <v>146</v>
      </c>
      <c r="I35" s="29">
        <v>207900</v>
      </c>
      <c r="J35" s="29"/>
      <c r="K35" s="29"/>
      <c r="L35" s="29">
        <v>44000</v>
      </c>
      <c r="M35" s="29"/>
      <c r="N35" s="47"/>
      <c r="O35" s="29"/>
      <c r="P35" s="29"/>
      <c r="Q35" s="29"/>
      <c r="R35" s="60"/>
      <c r="S35" s="29"/>
      <c r="T35" s="29"/>
      <c r="U35" s="61"/>
      <c r="V35" s="62"/>
      <c r="W35" s="49" t="s">
        <v>147</v>
      </c>
    </row>
    <row r="36" spans="1:23" ht="11.25" customHeight="1" x14ac:dyDescent="0.3">
      <c r="A36" s="20">
        <f t="shared" si="0"/>
        <v>22</v>
      </c>
      <c r="B36" s="29">
        <v>4</v>
      </c>
      <c r="C36" s="29" t="s">
        <v>150</v>
      </c>
      <c r="D36" s="29"/>
      <c r="E36" s="29"/>
      <c r="F36" s="58" t="s">
        <v>149</v>
      </c>
      <c r="G36" s="58" t="s">
        <v>145</v>
      </c>
      <c r="H36" s="29" t="s">
        <v>146</v>
      </c>
      <c r="I36" s="29"/>
      <c r="J36" s="29"/>
      <c r="K36" s="29"/>
      <c r="L36" s="29">
        <v>40000</v>
      </c>
      <c r="M36" s="29"/>
      <c r="N36" s="47"/>
      <c r="O36" s="29"/>
      <c r="P36" s="29"/>
      <c r="Q36" s="29"/>
      <c r="R36" s="60"/>
      <c r="S36" s="29"/>
      <c r="T36" s="29"/>
      <c r="U36" s="61"/>
      <c r="V36" s="62"/>
      <c r="W36" s="49" t="s">
        <v>151</v>
      </c>
    </row>
    <row r="37" spans="1:23" ht="11.25" customHeight="1" x14ac:dyDescent="0.3">
      <c r="A37" s="20">
        <f t="shared" si="0"/>
        <v>23</v>
      </c>
      <c r="B37" s="29">
        <v>4</v>
      </c>
      <c r="C37" s="29" t="s">
        <v>152</v>
      </c>
      <c r="D37" s="29">
        <v>6</v>
      </c>
      <c r="E37" s="29"/>
      <c r="F37" s="58"/>
      <c r="G37" s="58" t="s">
        <v>145</v>
      </c>
      <c r="H37" s="29" t="s">
        <v>146</v>
      </c>
      <c r="I37" s="29">
        <v>200000</v>
      </c>
      <c r="J37" s="29"/>
      <c r="K37" s="29"/>
      <c r="L37" s="29"/>
      <c r="M37" s="29"/>
      <c r="N37" s="47"/>
      <c r="O37" s="29"/>
      <c r="P37" s="29"/>
      <c r="Q37" s="29"/>
      <c r="R37" s="60"/>
      <c r="S37" s="29"/>
      <c r="T37" s="29"/>
      <c r="U37" s="61"/>
      <c r="V37" s="62"/>
      <c r="W37" s="49" t="s">
        <v>156</v>
      </c>
    </row>
    <row r="38" spans="1:23" ht="11.25" customHeight="1" x14ac:dyDescent="0.3">
      <c r="A38" s="20">
        <f t="shared" si="0"/>
        <v>24</v>
      </c>
      <c r="B38" s="29">
        <v>4</v>
      </c>
      <c r="C38" s="29" t="s">
        <v>153</v>
      </c>
      <c r="D38" s="29"/>
      <c r="E38" s="29">
        <v>52</v>
      </c>
      <c r="F38" s="58"/>
      <c r="G38" s="58" t="s">
        <v>154</v>
      </c>
      <c r="H38" s="29" t="s">
        <v>155</v>
      </c>
      <c r="I38" s="29"/>
      <c r="J38" s="29"/>
      <c r="K38" s="29"/>
      <c r="L38" s="29"/>
      <c r="M38" s="29"/>
      <c r="N38" s="47"/>
      <c r="O38" s="29">
        <v>2550000</v>
      </c>
      <c r="P38" s="29"/>
      <c r="Q38" s="29"/>
      <c r="R38" s="60"/>
      <c r="S38" s="29"/>
      <c r="T38" s="29"/>
      <c r="U38" s="61"/>
      <c r="V38" s="62"/>
      <c r="W38" s="49" t="s">
        <v>156</v>
      </c>
    </row>
    <row r="39" spans="1:23" ht="11.25" customHeight="1" x14ac:dyDescent="0.3">
      <c r="A39" s="20">
        <f t="shared" si="0"/>
        <v>25</v>
      </c>
      <c r="B39" s="29">
        <v>5</v>
      </c>
      <c r="C39" s="29" t="s">
        <v>157</v>
      </c>
      <c r="D39" s="29"/>
      <c r="E39" s="29"/>
      <c r="F39" s="58" t="s">
        <v>158</v>
      </c>
      <c r="G39" s="58" t="s">
        <v>159</v>
      </c>
      <c r="H39" s="29" t="s">
        <v>160</v>
      </c>
      <c r="I39" s="29"/>
      <c r="J39" s="29"/>
      <c r="K39" s="29"/>
      <c r="L39" s="29">
        <v>15000</v>
      </c>
      <c r="M39" s="29"/>
      <c r="N39" s="47"/>
      <c r="O39" s="29"/>
      <c r="P39" s="29"/>
      <c r="Q39" s="29"/>
      <c r="R39" s="60"/>
      <c r="S39" s="29"/>
      <c r="T39" s="29"/>
      <c r="U39" s="61"/>
      <c r="V39" s="62"/>
      <c r="W39" s="49" t="s">
        <v>161</v>
      </c>
    </row>
    <row r="40" spans="1:23" ht="11.25" customHeight="1" x14ac:dyDescent="0.3">
      <c r="A40" s="20">
        <f t="shared" si="0"/>
        <v>26</v>
      </c>
      <c r="B40" s="29">
        <v>5</v>
      </c>
      <c r="C40" s="29" t="s">
        <v>162</v>
      </c>
      <c r="D40" s="29">
        <v>4</v>
      </c>
      <c r="E40" s="29"/>
      <c r="F40" s="58"/>
      <c r="G40" s="58" t="s">
        <v>159</v>
      </c>
      <c r="H40" s="29" t="s">
        <v>160</v>
      </c>
      <c r="I40" s="29">
        <v>207900</v>
      </c>
      <c r="J40" s="29"/>
      <c r="K40" s="29"/>
      <c r="L40" s="29"/>
      <c r="M40" s="29"/>
      <c r="N40" s="47"/>
      <c r="O40" s="29"/>
      <c r="P40" s="29"/>
      <c r="Q40" s="29"/>
      <c r="R40" s="60"/>
      <c r="S40" s="29"/>
      <c r="T40" s="29"/>
      <c r="U40" s="61"/>
      <c r="V40" s="62"/>
      <c r="W40" s="49" t="s">
        <v>163</v>
      </c>
    </row>
    <row r="41" spans="1:23" ht="11.25" customHeight="1" x14ac:dyDescent="0.3">
      <c r="A41" s="20">
        <f t="shared" si="0"/>
        <v>27</v>
      </c>
      <c r="B41" s="29">
        <v>5</v>
      </c>
      <c r="C41" s="29" t="s">
        <v>164</v>
      </c>
      <c r="D41" s="29">
        <v>4</v>
      </c>
      <c r="E41" s="29"/>
      <c r="F41" s="58"/>
      <c r="G41" s="58" t="s">
        <v>159</v>
      </c>
      <c r="H41" s="29" t="s">
        <v>160</v>
      </c>
      <c r="I41" s="29">
        <v>207900</v>
      </c>
      <c r="J41" s="29"/>
      <c r="K41" s="29"/>
      <c r="L41" s="29"/>
      <c r="M41" s="29"/>
      <c r="N41" s="47"/>
      <c r="O41" s="29"/>
      <c r="P41" s="29"/>
      <c r="Q41" s="29"/>
      <c r="R41" s="60"/>
      <c r="S41" s="29"/>
      <c r="T41" s="29"/>
      <c r="U41" s="61"/>
      <c r="V41" s="62"/>
      <c r="W41" s="49" t="s">
        <v>165</v>
      </c>
    </row>
    <row r="42" spans="1:23" ht="11.25" customHeight="1" x14ac:dyDescent="0.3">
      <c r="A42" s="20">
        <f t="shared" si="0"/>
        <v>28</v>
      </c>
      <c r="B42" s="29">
        <v>6</v>
      </c>
      <c r="C42" s="29" t="s">
        <v>166</v>
      </c>
      <c r="D42" s="29">
        <v>4</v>
      </c>
      <c r="E42" s="29"/>
      <c r="F42" s="58"/>
      <c r="G42" s="58" t="s">
        <v>167</v>
      </c>
      <c r="H42" s="29" t="s">
        <v>168</v>
      </c>
      <c r="I42" s="29">
        <v>189000</v>
      </c>
      <c r="J42" s="29"/>
      <c r="K42" s="29"/>
      <c r="L42" s="29"/>
      <c r="M42" s="29"/>
      <c r="N42" s="47"/>
      <c r="O42" s="29"/>
      <c r="P42" s="29"/>
      <c r="Q42" s="29"/>
      <c r="R42" s="60"/>
      <c r="S42" s="29"/>
      <c r="T42" s="29"/>
      <c r="U42" s="61"/>
      <c r="V42" s="62"/>
      <c r="W42" s="49" t="s">
        <v>169</v>
      </c>
    </row>
    <row r="43" spans="1:23" ht="11.25" customHeight="1" x14ac:dyDescent="0.3">
      <c r="A43" s="20">
        <f t="shared" si="0"/>
        <v>29</v>
      </c>
      <c r="B43" s="29">
        <v>6</v>
      </c>
      <c r="C43" s="29" t="s">
        <v>166</v>
      </c>
      <c r="D43" s="29"/>
      <c r="E43" s="29">
        <v>30</v>
      </c>
      <c r="F43" s="58"/>
      <c r="G43" s="58" t="s">
        <v>167</v>
      </c>
      <c r="H43" s="29" t="s">
        <v>170</v>
      </c>
      <c r="I43" s="29"/>
      <c r="J43" s="29"/>
      <c r="K43" s="29"/>
      <c r="L43" s="29"/>
      <c r="M43" s="29"/>
      <c r="N43" s="47"/>
      <c r="O43" s="29">
        <v>11000</v>
      </c>
      <c r="P43" s="29"/>
      <c r="Q43" s="29">
        <v>1789000</v>
      </c>
      <c r="R43" s="60"/>
      <c r="S43" s="29"/>
      <c r="T43" s="29"/>
      <c r="U43" s="61"/>
      <c r="V43" s="62"/>
      <c r="W43" s="49" t="s">
        <v>171</v>
      </c>
    </row>
    <row r="44" spans="1:23" ht="11.25" customHeight="1" x14ac:dyDescent="0.3">
      <c r="A44" s="20">
        <f t="shared" si="0"/>
        <v>30</v>
      </c>
      <c r="B44" s="29">
        <v>6</v>
      </c>
      <c r="C44" s="29" t="s">
        <v>172</v>
      </c>
      <c r="D44" s="29">
        <v>7</v>
      </c>
      <c r="E44" s="29"/>
      <c r="F44" s="58"/>
      <c r="G44" s="58" t="s">
        <v>167</v>
      </c>
      <c r="H44" s="29" t="s">
        <v>168</v>
      </c>
      <c r="I44" s="29">
        <v>277200</v>
      </c>
      <c r="J44" s="29"/>
      <c r="K44" s="29"/>
      <c r="L44" s="29"/>
      <c r="M44" s="29"/>
      <c r="N44" s="47"/>
      <c r="O44" s="29"/>
      <c r="P44" s="29"/>
      <c r="Q44" s="29"/>
      <c r="R44" s="60"/>
      <c r="S44" s="29"/>
      <c r="T44" s="29"/>
      <c r="U44" s="61"/>
      <c r="V44" s="62"/>
      <c r="W44" s="49" t="s">
        <v>169</v>
      </c>
    </row>
    <row r="45" spans="1:23" ht="11.25" customHeight="1" x14ac:dyDescent="0.3">
      <c r="A45" s="20">
        <f t="shared" si="0"/>
        <v>31</v>
      </c>
      <c r="B45" s="29">
        <v>6</v>
      </c>
      <c r="C45" s="29" t="s">
        <v>173</v>
      </c>
      <c r="D45" s="29">
        <v>7</v>
      </c>
      <c r="E45" s="29"/>
      <c r="F45" s="58"/>
      <c r="G45" s="58" t="s">
        <v>167</v>
      </c>
      <c r="H45" s="29" t="s">
        <v>168</v>
      </c>
      <c r="I45" s="29">
        <v>308000</v>
      </c>
      <c r="J45" s="29"/>
      <c r="K45" s="29"/>
      <c r="L45" s="29"/>
      <c r="M45" s="29"/>
      <c r="N45" s="47"/>
      <c r="O45" s="29"/>
      <c r="P45" s="29"/>
      <c r="Q45" s="29"/>
      <c r="R45" s="60"/>
      <c r="S45" s="29"/>
      <c r="T45" s="29"/>
      <c r="U45" s="61"/>
      <c r="V45" s="62"/>
      <c r="W45" s="49" t="s">
        <v>174</v>
      </c>
    </row>
    <row r="46" spans="1:23" ht="11.25" customHeight="1" x14ac:dyDescent="0.3">
      <c r="A46" s="20">
        <f t="shared" si="0"/>
        <v>32</v>
      </c>
      <c r="B46" s="29">
        <v>6</v>
      </c>
      <c r="C46" s="29" t="s">
        <v>175</v>
      </c>
      <c r="D46" s="29">
        <v>7</v>
      </c>
      <c r="E46" s="29"/>
      <c r="F46" s="58"/>
      <c r="G46" s="58" t="s">
        <v>176</v>
      </c>
      <c r="H46" s="29" t="s">
        <v>168</v>
      </c>
      <c r="I46" s="29">
        <v>308000</v>
      </c>
      <c r="J46" s="29"/>
      <c r="K46" s="29"/>
      <c r="L46" s="29"/>
      <c r="M46" s="29"/>
      <c r="N46" s="47"/>
      <c r="O46" s="29"/>
      <c r="P46" s="29"/>
      <c r="Q46" s="29"/>
      <c r="R46" s="60"/>
      <c r="S46" s="29"/>
      <c r="T46" s="29"/>
      <c r="U46" s="61"/>
      <c r="V46" s="62"/>
      <c r="W46" s="49" t="s">
        <v>174</v>
      </c>
    </row>
    <row r="47" spans="1:23" ht="11.25" customHeight="1" x14ac:dyDescent="0.3">
      <c r="A47" s="20">
        <f t="shared" si="0"/>
        <v>33</v>
      </c>
      <c r="B47" s="29">
        <v>6</v>
      </c>
      <c r="C47" s="29" t="s">
        <v>177</v>
      </c>
      <c r="D47" s="29"/>
      <c r="E47" s="29">
        <v>5</v>
      </c>
      <c r="F47" s="58"/>
      <c r="G47" s="58" t="s">
        <v>176</v>
      </c>
      <c r="H47" s="29" t="s">
        <v>178</v>
      </c>
      <c r="I47" s="29"/>
      <c r="J47" s="29"/>
      <c r="K47" s="29"/>
      <c r="L47" s="29"/>
      <c r="M47" s="29"/>
      <c r="N47" s="47"/>
      <c r="O47" s="29">
        <v>300000</v>
      </c>
      <c r="P47" s="29"/>
      <c r="Q47" s="29"/>
      <c r="R47" s="60"/>
      <c r="S47" s="29"/>
      <c r="T47" s="29"/>
      <c r="U47" s="61"/>
      <c r="V47" s="62"/>
      <c r="W47" s="49" t="s">
        <v>174</v>
      </c>
    </row>
    <row r="48" spans="1:23" ht="11.25" customHeight="1" x14ac:dyDescent="0.3">
      <c r="A48" s="20">
        <f t="shared" si="0"/>
        <v>34</v>
      </c>
      <c r="B48" s="29">
        <v>6</v>
      </c>
      <c r="C48" s="29" t="s">
        <v>179</v>
      </c>
      <c r="D48" s="29">
        <v>2</v>
      </c>
      <c r="E48" s="29"/>
      <c r="F48" s="58"/>
      <c r="G48" s="58" t="s">
        <v>167</v>
      </c>
      <c r="H48" s="29" t="s">
        <v>168</v>
      </c>
      <c r="I48" s="29">
        <v>69000</v>
      </c>
      <c r="J48" s="29"/>
      <c r="K48" s="29"/>
      <c r="L48" s="29"/>
      <c r="M48" s="29"/>
      <c r="N48" s="47"/>
      <c r="O48" s="29"/>
      <c r="P48" s="29"/>
      <c r="Q48" s="29"/>
      <c r="R48" s="60"/>
      <c r="S48" s="29"/>
      <c r="T48" s="29"/>
      <c r="U48" s="61"/>
      <c r="V48" s="62"/>
      <c r="W48" s="49" t="s">
        <v>180</v>
      </c>
    </row>
    <row r="49" spans="1:23" ht="11.25" customHeight="1" x14ac:dyDescent="0.3">
      <c r="A49" s="20">
        <f t="shared" si="0"/>
        <v>35</v>
      </c>
      <c r="B49" s="29">
        <v>6</v>
      </c>
      <c r="C49" s="29" t="s">
        <v>179</v>
      </c>
      <c r="D49" s="29"/>
      <c r="E49" s="29">
        <v>4</v>
      </c>
      <c r="F49" s="58"/>
      <c r="G49" s="58" t="s">
        <v>167</v>
      </c>
      <c r="H49" s="29" t="s">
        <v>181</v>
      </c>
      <c r="I49" s="29"/>
      <c r="J49" s="29"/>
      <c r="K49" s="29"/>
      <c r="L49" s="29"/>
      <c r="M49" s="29"/>
      <c r="N49" s="47"/>
      <c r="O49" s="29">
        <v>80000</v>
      </c>
      <c r="P49" s="29"/>
      <c r="Q49" s="29"/>
      <c r="R49" s="60"/>
      <c r="S49" s="29"/>
      <c r="T49" s="29"/>
      <c r="U49" s="61"/>
      <c r="V49" s="62"/>
      <c r="W49" s="49" t="s">
        <v>180</v>
      </c>
    </row>
    <row r="50" spans="1:23" ht="11.25" customHeight="1" x14ac:dyDescent="0.3">
      <c r="A50" s="20">
        <f t="shared" si="0"/>
        <v>36</v>
      </c>
      <c r="B50" s="29">
        <v>6</v>
      </c>
      <c r="C50" s="29" t="s">
        <v>182</v>
      </c>
      <c r="D50" s="29"/>
      <c r="E50" s="29"/>
      <c r="F50" s="58" t="s">
        <v>183</v>
      </c>
      <c r="G50" s="58" t="s">
        <v>176</v>
      </c>
      <c r="H50" s="29" t="s">
        <v>168</v>
      </c>
      <c r="I50" s="29"/>
      <c r="J50" s="29"/>
      <c r="K50" s="29"/>
      <c r="L50" s="29">
        <v>20000</v>
      </c>
      <c r="M50" s="29"/>
      <c r="N50" s="47"/>
      <c r="O50" s="29"/>
      <c r="P50" s="47"/>
      <c r="Q50" s="29"/>
      <c r="R50" s="60"/>
      <c r="S50" s="29"/>
      <c r="T50" s="29"/>
      <c r="U50" s="61"/>
      <c r="V50" s="62"/>
      <c r="W50" s="49" t="s">
        <v>174</v>
      </c>
    </row>
    <row r="51" spans="1:23" ht="11.25" customHeight="1" x14ac:dyDescent="0.3">
      <c r="A51" s="20">
        <f t="shared" si="0"/>
        <v>37</v>
      </c>
      <c r="B51" s="29">
        <v>6</v>
      </c>
      <c r="C51" s="29" t="s">
        <v>184</v>
      </c>
      <c r="D51" s="29">
        <v>4</v>
      </c>
      <c r="E51" s="29"/>
      <c r="F51" s="58"/>
      <c r="G51" s="58" t="s">
        <v>167</v>
      </c>
      <c r="H51" s="29" t="s">
        <v>168</v>
      </c>
      <c r="I51" s="29">
        <v>207900</v>
      </c>
      <c r="J51" s="29"/>
      <c r="K51" s="29"/>
      <c r="L51" s="29"/>
      <c r="M51" s="29"/>
      <c r="N51" s="47"/>
      <c r="O51" s="29"/>
      <c r="P51" s="29"/>
      <c r="Q51" s="29"/>
      <c r="R51" s="60"/>
      <c r="S51" s="29"/>
      <c r="T51" s="29"/>
      <c r="U51" s="61"/>
      <c r="V51" s="62"/>
      <c r="W51" s="49" t="s">
        <v>169</v>
      </c>
    </row>
    <row r="52" spans="1:23" ht="11.25" customHeight="1" x14ac:dyDescent="0.3">
      <c r="A52" s="20">
        <f t="shared" si="0"/>
        <v>38</v>
      </c>
      <c r="B52" s="29">
        <v>7</v>
      </c>
      <c r="C52" s="29" t="s">
        <v>185</v>
      </c>
      <c r="D52" s="29">
        <v>4</v>
      </c>
      <c r="E52" s="29"/>
      <c r="F52" s="58" t="s">
        <v>186</v>
      </c>
      <c r="G52" s="58" t="s">
        <v>187</v>
      </c>
      <c r="H52" s="29" t="s">
        <v>188</v>
      </c>
      <c r="I52" s="29">
        <v>207900</v>
      </c>
      <c r="J52" s="29"/>
      <c r="K52" s="29"/>
      <c r="L52" s="29">
        <v>44000</v>
      </c>
      <c r="M52" s="29"/>
      <c r="N52" s="47"/>
      <c r="O52" s="29"/>
      <c r="P52" s="29"/>
      <c r="Q52" s="29"/>
      <c r="R52" s="60"/>
      <c r="S52" s="29"/>
      <c r="T52" s="29"/>
      <c r="U52" s="61"/>
      <c r="V52" s="62"/>
      <c r="W52" s="49" t="s">
        <v>189</v>
      </c>
    </row>
    <row r="53" spans="1:23" ht="11.25" customHeight="1" x14ac:dyDescent="0.3">
      <c r="A53" s="20">
        <f t="shared" si="0"/>
        <v>39</v>
      </c>
      <c r="B53" s="29">
        <v>7</v>
      </c>
      <c r="C53" s="29" t="s">
        <v>190</v>
      </c>
      <c r="D53" s="29"/>
      <c r="E53" s="29"/>
      <c r="F53" s="58" t="s">
        <v>191</v>
      </c>
      <c r="G53" s="58"/>
      <c r="H53" s="29" t="s">
        <v>188</v>
      </c>
      <c r="I53" s="29"/>
      <c r="J53" s="29"/>
      <c r="K53" s="29"/>
      <c r="L53" s="29">
        <v>11000</v>
      </c>
      <c r="M53" s="29"/>
      <c r="N53" s="47"/>
      <c r="O53" s="29"/>
      <c r="P53" s="29"/>
      <c r="Q53" s="29"/>
      <c r="R53" s="60"/>
      <c r="S53" s="29"/>
      <c r="T53" s="29"/>
      <c r="U53" s="61"/>
      <c r="V53" s="62"/>
      <c r="W53" s="49" t="s">
        <v>192</v>
      </c>
    </row>
    <row r="54" spans="1:23" ht="11.25" customHeight="1" x14ac:dyDescent="0.3">
      <c r="A54" s="20">
        <f t="shared" si="0"/>
        <v>40</v>
      </c>
      <c r="B54" s="29">
        <v>7</v>
      </c>
      <c r="C54" s="29" t="s">
        <v>190</v>
      </c>
      <c r="D54" s="29"/>
      <c r="E54" s="29"/>
      <c r="F54" s="58" t="s">
        <v>193</v>
      </c>
      <c r="G54" s="58"/>
      <c r="H54" s="29" t="s">
        <v>188</v>
      </c>
      <c r="I54" s="29"/>
      <c r="J54" s="29"/>
      <c r="K54" s="29"/>
      <c r="L54" s="29">
        <v>20000</v>
      </c>
      <c r="M54" s="29"/>
      <c r="N54" s="47"/>
      <c r="O54" s="29"/>
      <c r="P54" s="29"/>
      <c r="Q54" s="29"/>
      <c r="R54" s="60"/>
      <c r="S54" s="29"/>
      <c r="T54" s="29"/>
      <c r="U54" s="61"/>
      <c r="V54" s="62"/>
      <c r="W54" s="49" t="s">
        <v>192</v>
      </c>
    </row>
    <row r="55" spans="1:23" ht="11.25" customHeight="1" x14ac:dyDescent="0.3">
      <c r="A55" s="20">
        <f t="shared" si="0"/>
        <v>41</v>
      </c>
      <c r="B55" s="29">
        <v>7</v>
      </c>
      <c r="C55" s="29" t="s">
        <v>194</v>
      </c>
      <c r="D55" s="29"/>
      <c r="E55" s="29">
        <v>6</v>
      </c>
      <c r="F55" s="58"/>
      <c r="G55" s="58" t="s">
        <v>187</v>
      </c>
      <c r="H55" s="29" t="s">
        <v>195</v>
      </c>
      <c r="I55" s="29"/>
      <c r="J55" s="29"/>
      <c r="K55" s="29"/>
      <c r="L55" s="29"/>
      <c r="M55" s="29"/>
      <c r="N55" s="47"/>
      <c r="O55" s="29">
        <v>385000</v>
      </c>
      <c r="P55" s="29"/>
      <c r="Q55" s="29"/>
      <c r="R55" s="60"/>
      <c r="S55" s="29"/>
      <c r="T55" s="29"/>
      <c r="U55" s="61"/>
      <c r="V55" s="62"/>
      <c r="W55" s="49" t="s">
        <v>196</v>
      </c>
    </row>
    <row r="56" spans="1:23" ht="11.25" customHeight="1" x14ac:dyDescent="0.3">
      <c r="A56" s="20">
        <f t="shared" si="0"/>
        <v>42</v>
      </c>
      <c r="B56" s="29">
        <v>7</v>
      </c>
      <c r="C56" s="29" t="s">
        <v>197</v>
      </c>
      <c r="D56" s="29">
        <v>4</v>
      </c>
      <c r="E56" s="29"/>
      <c r="F56" s="58"/>
      <c r="G56" s="58" t="s">
        <v>187</v>
      </c>
      <c r="H56" s="29" t="s">
        <v>188</v>
      </c>
      <c r="I56" s="29">
        <v>237900</v>
      </c>
      <c r="J56" s="29"/>
      <c r="K56" s="29"/>
      <c r="L56" s="29"/>
      <c r="M56" s="29"/>
      <c r="N56" s="47"/>
      <c r="O56" s="29"/>
      <c r="P56" s="29"/>
      <c r="Q56" s="29"/>
      <c r="R56" s="60"/>
      <c r="S56" s="29"/>
      <c r="T56" s="29"/>
      <c r="U56" s="61"/>
      <c r="V56" s="62"/>
      <c r="W56" s="49" t="s">
        <v>198</v>
      </c>
    </row>
    <row r="57" spans="1:23" ht="11.25" customHeight="1" x14ac:dyDescent="0.3">
      <c r="A57" s="20">
        <f t="shared" si="0"/>
        <v>43</v>
      </c>
      <c r="B57" s="29">
        <v>7</v>
      </c>
      <c r="C57" s="29" t="s">
        <v>199</v>
      </c>
      <c r="D57" s="29"/>
      <c r="E57" s="29">
        <v>30</v>
      </c>
      <c r="F57" s="58"/>
      <c r="G57" s="58" t="s">
        <v>200</v>
      </c>
      <c r="H57" s="29" t="s">
        <v>201</v>
      </c>
      <c r="I57" s="29"/>
      <c r="J57" s="29"/>
      <c r="K57" s="29"/>
      <c r="L57" s="29"/>
      <c r="M57" s="29"/>
      <c r="N57" s="47"/>
      <c r="O57" s="29">
        <v>1950000</v>
      </c>
      <c r="P57" s="29"/>
      <c r="Q57" s="29"/>
      <c r="R57" s="60"/>
      <c r="S57" s="29"/>
      <c r="T57" s="29"/>
      <c r="U57" s="61"/>
      <c r="V57" s="62"/>
      <c r="W57" s="49" t="s">
        <v>198</v>
      </c>
    </row>
    <row r="58" spans="1:23" ht="11.25" customHeight="1" x14ac:dyDescent="0.3">
      <c r="A58" s="20">
        <f t="shared" si="0"/>
        <v>44</v>
      </c>
      <c r="B58" s="29">
        <v>7</v>
      </c>
      <c r="C58" s="29" t="s">
        <v>199</v>
      </c>
      <c r="D58" s="29">
        <v>7</v>
      </c>
      <c r="E58" s="29"/>
      <c r="F58" s="58" t="s">
        <v>202</v>
      </c>
      <c r="G58" s="58" t="s">
        <v>200</v>
      </c>
      <c r="H58" s="29" t="s">
        <v>188</v>
      </c>
      <c r="I58" s="29">
        <v>308000</v>
      </c>
      <c r="J58" s="29"/>
      <c r="K58" s="29"/>
      <c r="L58" s="29">
        <v>77000</v>
      </c>
      <c r="M58" s="29"/>
      <c r="N58" s="47"/>
      <c r="O58" s="29"/>
      <c r="P58" s="29"/>
      <c r="Q58" s="29"/>
      <c r="R58" s="60"/>
      <c r="S58" s="29"/>
      <c r="T58" s="29"/>
      <c r="U58" s="61"/>
      <c r="V58" s="62"/>
      <c r="W58" s="49" t="s">
        <v>203</v>
      </c>
    </row>
    <row r="59" spans="1:23" ht="11.25" customHeight="1" x14ac:dyDescent="0.3">
      <c r="A59" s="20">
        <f t="shared" si="0"/>
        <v>45</v>
      </c>
      <c r="B59" s="29">
        <v>7</v>
      </c>
      <c r="C59" s="29" t="s">
        <v>204</v>
      </c>
      <c r="D59" s="29"/>
      <c r="E59" s="29"/>
      <c r="F59" s="58" t="s">
        <v>193</v>
      </c>
      <c r="G59" s="58"/>
      <c r="H59" s="29" t="s">
        <v>188</v>
      </c>
      <c r="I59" s="29"/>
      <c r="J59" s="29"/>
      <c r="K59" s="29"/>
      <c r="L59" s="29">
        <v>20000</v>
      </c>
      <c r="M59" s="29"/>
      <c r="N59" s="47"/>
      <c r="O59" s="29"/>
      <c r="P59" s="29"/>
      <c r="Q59" s="29"/>
      <c r="R59" s="60"/>
      <c r="S59" s="29"/>
      <c r="T59" s="29"/>
      <c r="U59" s="61"/>
      <c r="V59" s="62"/>
      <c r="W59" s="49" t="s">
        <v>203</v>
      </c>
    </row>
    <row r="60" spans="1:23" ht="11.25" customHeight="1" x14ac:dyDescent="0.3">
      <c r="A60" s="20">
        <f t="shared" si="0"/>
        <v>46</v>
      </c>
      <c r="B60" s="29">
        <v>7</v>
      </c>
      <c r="C60" s="29" t="s">
        <v>205</v>
      </c>
      <c r="D60" s="29"/>
      <c r="E60" s="29"/>
      <c r="F60" s="58" t="s">
        <v>206</v>
      </c>
      <c r="G60" s="58"/>
      <c r="H60" s="29" t="s">
        <v>207</v>
      </c>
      <c r="I60" s="29"/>
      <c r="J60" s="29"/>
      <c r="K60" s="29"/>
      <c r="L60" s="29"/>
      <c r="M60" s="29"/>
      <c r="N60" s="47"/>
      <c r="O60" s="29">
        <v>-2880000</v>
      </c>
      <c r="P60" s="47"/>
      <c r="Q60" s="29"/>
      <c r="R60" s="60"/>
      <c r="S60" s="29"/>
      <c r="T60" s="29"/>
      <c r="U60" s="61"/>
      <c r="V60" s="62"/>
      <c r="W60" s="49" t="s">
        <v>208</v>
      </c>
    </row>
    <row r="61" spans="1:23" ht="11.25" customHeight="1" x14ac:dyDescent="0.3">
      <c r="A61" s="20">
        <f t="shared" si="0"/>
        <v>47</v>
      </c>
      <c r="B61" s="29">
        <v>7</v>
      </c>
      <c r="C61" s="29" t="s">
        <v>209</v>
      </c>
      <c r="D61" s="29"/>
      <c r="E61" s="29"/>
      <c r="F61" s="58" t="s">
        <v>210</v>
      </c>
      <c r="G61" s="58"/>
      <c r="H61" s="29" t="s">
        <v>211</v>
      </c>
      <c r="I61" s="29"/>
      <c r="J61" s="29"/>
      <c r="K61" s="29"/>
      <c r="L61" s="29"/>
      <c r="M61" s="29"/>
      <c r="N61" s="47"/>
      <c r="O61" s="29">
        <v>2880000</v>
      </c>
      <c r="P61" s="29"/>
      <c r="Q61" s="29"/>
      <c r="R61" s="60"/>
      <c r="S61" s="29"/>
      <c r="T61" s="29"/>
      <c r="U61" s="61"/>
      <c r="V61" s="62"/>
      <c r="W61" s="49" t="s">
        <v>212</v>
      </c>
    </row>
    <row r="62" spans="1:23" ht="11.25" customHeight="1" x14ac:dyDescent="0.3">
      <c r="A62" s="20">
        <f t="shared" si="0"/>
        <v>48</v>
      </c>
      <c r="B62" s="29">
        <v>8</v>
      </c>
      <c r="C62" s="29" t="s">
        <v>213</v>
      </c>
      <c r="D62" s="29">
        <v>4</v>
      </c>
      <c r="E62" s="29"/>
      <c r="F62" s="58"/>
      <c r="G62" s="58"/>
      <c r="H62" s="29" t="s">
        <v>214</v>
      </c>
      <c r="I62" s="29">
        <v>240900</v>
      </c>
      <c r="J62" s="29"/>
      <c r="K62" s="29"/>
      <c r="L62" s="29"/>
      <c r="M62" s="29"/>
      <c r="N62" s="47"/>
      <c r="O62" s="29"/>
      <c r="P62" s="47"/>
      <c r="Q62" s="29"/>
      <c r="R62" s="60"/>
      <c r="S62" s="29"/>
      <c r="T62" s="29"/>
      <c r="U62" s="61"/>
      <c r="V62" s="62"/>
      <c r="W62" s="49" t="s">
        <v>215</v>
      </c>
    </row>
    <row r="63" spans="1:23" ht="11.25" customHeight="1" x14ac:dyDescent="0.3">
      <c r="A63" s="20">
        <f t="shared" si="0"/>
        <v>49</v>
      </c>
      <c r="B63" s="29">
        <v>10</v>
      </c>
      <c r="C63" s="29" t="s">
        <v>216</v>
      </c>
      <c r="D63" s="29">
        <v>4</v>
      </c>
      <c r="E63" s="29"/>
      <c r="F63" s="58"/>
      <c r="G63" s="58" t="s">
        <v>217</v>
      </c>
      <c r="H63" s="29" t="s">
        <v>218</v>
      </c>
      <c r="I63" s="29">
        <v>237900</v>
      </c>
      <c r="J63" s="29"/>
      <c r="K63" s="29"/>
      <c r="L63" s="29"/>
      <c r="M63" s="29"/>
      <c r="N63" s="47"/>
      <c r="O63" s="29"/>
      <c r="P63" s="29"/>
      <c r="Q63" s="29"/>
      <c r="R63" s="60"/>
      <c r="S63" s="29"/>
      <c r="T63" s="29"/>
      <c r="U63" s="61"/>
      <c r="V63" s="62"/>
      <c r="W63" s="49" t="s">
        <v>219</v>
      </c>
    </row>
    <row r="64" spans="1:23" ht="11.25" customHeight="1" x14ac:dyDescent="0.3">
      <c r="A64" s="20">
        <f t="shared" si="0"/>
        <v>50</v>
      </c>
      <c r="B64" s="29">
        <v>10</v>
      </c>
      <c r="C64" s="29" t="s">
        <v>220</v>
      </c>
      <c r="D64" s="29">
        <v>4</v>
      </c>
      <c r="E64" s="29"/>
      <c r="F64" s="58"/>
      <c r="G64" s="58" t="s">
        <v>221</v>
      </c>
      <c r="H64" s="29" t="s">
        <v>218</v>
      </c>
      <c r="I64" s="29">
        <v>207900</v>
      </c>
      <c r="J64" s="29"/>
      <c r="K64" s="29"/>
      <c r="L64" s="29"/>
      <c r="M64" s="29"/>
      <c r="N64" s="47"/>
      <c r="O64" s="29"/>
      <c r="P64" s="29"/>
      <c r="Q64" s="29"/>
      <c r="R64" s="60"/>
      <c r="S64" s="29"/>
      <c r="T64" s="29"/>
      <c r="U64" s="61"/>
      <c r="V64" s="62"/>
      <c r="W64" s="49" t="s">
        <v>222</v>
      </c>
    </row>
    <row r="65" spans="1:23" ht="11.25" customHeight="1" x14ac:dyDescent="0.3">
      <c r="A65" s="20">
        <f t="shared" si="0"/>
        <v>51</v>
      </c>
      <c r="B65" s="29">
        <v>10</v>
      </c>
      <c r="C65" s="29" t="s">
        <v>223</v>
      </c>
      <c r="D65" s="29">
        <v>4</v>
      </c>
      <c r="E65" s="29"/>
      <c r="F65" s="58" t="s">
        <v>224</v>
      </c>
      <c r="G65" s="58" t="s">
        <v>217</v>
      </c>
      <c r="H65" s="29" t="s">
        <v>218</v>
      </c>
      <c r="I65" s="29">
        <v>207900</v>
      </c>
      <c r="J65" s="29"/>
      <c r="K65" s="29"/>
      <c r="L65" s="29">
        <v>66000</v>
      </c>
      <c r="M65" s="29"/>
      <c r="N65" s="47"/>
      <c r="O65" s="29"/>
      <c r="P65" s="29"/>
      <c r="Q65" s="29"/>
      <c r="R65" s="60"/>
      <c r="S65" s="29"/>
      <c r="T65" s="29"/>
      <c r="U65" s="61"/>
      <c r="V65" s="62"/>
      <c r="W65" s="49" t="s">
        <v>222</v>
      </c>
    </row>
    <row r="66" spans="1:23" ht="11.25" customHeight="1" x14ac:dyDescent="0.3">
      <c r="A66" s="20">
        <f t="shared" si="0"/>
        <v>52</v>
      </c>
      <c r="B66" s="29">
        <v>10</v>
      </c>
      <c r="C66" s="29" t="s">
        <v>225</v>
      </c>
      <c r="D66" s="29"/>
      <c r="E66" s="29"/>
      <c r="F66" s="58" t="s">
        <v>226</v>
      </c>
      <c r="G66" s="58"/>
      <c r="H66" s="29" t="s">
        <v>218</v>
      </c>
      <c r="I66" s="29"/>
      <c r="J66" s="29"/>
      <c r="K66" s="29"/>
      <c r="L66" s="29">
        <v>20000</v>
      </c>
      <c r="M66" s="29"/>
      <c r="N66" s="47"/>
      <c r="O66" s="29"/>
      <c r="P66" s="29"/>
      <c r="Q66" s="29"/>
      <c r="R66" s="60"/>
      <c r="S66" s="29"/>
      <c r="T66" s="29"/>
      <c r="U66" s="61"/>
      <c r="V66" s="62"/>
      <c r="W66" s="49" t="s">
        <v>227</v>
      </c>
    </row>
    <row r="67" spans="1:23" ht="11.25" customHeight="1" x14ac:dyDescent="0.3">
      <c r="A67" s="20">
        <f t="shared" si="0"/>
        <v>53</v>
      </c>
      <c r="B67" s="29">
        <v>10</v>
      </c>
      <c r="C67" s="29" t="s">
        <v>228</v>
      </c>
      <c r="D67" s="29">
        <v>4</v>
      </c>
      <c r="E67" s="29"/>
      <c r="F67" s="58"/>
      <c r="G67" s="58" t="s">
        <v>217</v>
      </c>
      <c r="H67" s="29" t="s">
        <v>218</v>
      </c>
      <c r="I67" s="29">
        <v>207900</v>
      </c>
      <c r="J67" s="29"/>
      <c r="K67" s="29"/>
      <c r="L67" s="29"/>
      <c r="M67" s="29"/>
      <c r="N67" s="47"/>
      <c r="O67" s="29"/>
      <c r="P67" s="29"/>
      <c r="Q67" s="29"/>
      <c r="R67" s="60"/>
      <c r="S67" s="29"/>
      <c r="T67" s="29"/>
      <c r="U67" s="61"/>
      <c r="V67" s="62"/>
      <c r="W67" s="49" t="s">
        <v>229</v>
      </c>
    </row>
    <row r="68" spans="1:23" ht="11.25" customHeight="1" x14ac:dyDescent="0.3">
      <c r="A68" s="20">
        <f t="shared" si="0"/>
        <v>54</v>
      </c>
      <c r="B68" s="29">
        <v>10</v>
      </c>
      <c r="C68" s="29" t="s">
        <v>230</v>
      </c>
      <c r="D68" s="29">
        <v>4</v>
      </c>
      <c r="E68" s="29"/>
      <c r="F68" s="58"/>
      <c r="G68" s="58" t="s">
        <v>217</v>
      </c>
      <c r="H68" s="29" t="s">
        <v>218</v>
      </c>
      <c r="I68" s="29">
        <v>207900</v>
      </c>
      <c r="J68" s="29"/>
      <c r="K68" s="29"/>
      <c r="L68" s="29"/>
      <c r="M68" s="29"/>
      <c r="N68" s="47"/>
      <c r="O68" s="29"/>
      <c r="P68" s="29"/>
      <c r="Q68" s="29"/>
      <c r="R68" s="60"/>
      <c r="S68" s="29"/>
      <c r="T68" s="29"/>
      <c r="U68" s="61"/>
      <c r="V68" s="62"/>
      <c r="W68" s="49" t="s">
        <v>231</v>
      </c>
    </row>
    <row r="69" spans="1:23" ht="11.25" customHeight="1" x14ac:dyDescent="0.3">
      <c r="A69" s="20">
        <f t="shared" si="0"/>
        <v>55</v>
      </c>
      <c r="B69" s="29">
        <v>10</v>
      </c>
      <c r="C69" s="29" t="s">
        <v>230</v>
      </c>
      <c r="D69" s="29"/>
      <c r="E69" s="29">
        <v>30</v>
      </c>
      <c r="F69" s="58"/>
      <c r="G69" s="58" t="s">
        <v>217</v>
      </c>
      <c r="H69" s="29" t="s">
        <v>232</v>
      </c>
      <c r="I69" s="29"/>
      <c r="J69" s="29"/>
      <c r="K69" s="29"/>
      <c r="L69" s="29"/>
      <c r="M69" s="29"/>
      <c r="N69" s="47"/>
      <c r="O69" s="29">
        <v>1980000</v>
      </c>
      <c r="P69" s="29"/>
      <c r="Q69" s="29"/>
      <c r="R69" s="60"/>
      <c r="S69" s="29"/>
      <c r="T69" s="29"/>
      <c r="U69" s="61"/>
      <c r="V69" s="62"/>
      <c r="W69" s="49" t="s">
        <v>231</v>
      </c>
    </row>
    <row r="70" spans="1:23" ht="11.25" customHeight="1" x14ac:dyDescent="0.3">
      <c r="A70" s="20">
        <f t="shared" si="0"/>
        <v>56</v>
      </c>
      <c r="B70" s="29">
        <v>10</v>
      </c>
      <c r="C70" s="29" t="s">
        <v>233</v>
      </c>
      <c r="D70" s="29">
        <v>4</v>
      </c>
      <c r="E70" s="29"/>
      <c r="F70" s="58"/>
      <c r="G70" s="58" t="s">
        <v>217</v>
      </c>
      <c r="H70" s="29" t="s">
        <v>218</v>
      </c>
      <c r="I70" s="29">
        <v>207900</v>
      </c>
      <c r="J70" s="29"/>
      <c r="K70" s="29"/>
      <c r="L70" s="29"/>
      <c r="M70" s="29"/>
      <c r="N70" s="47"/>
      <c r="O70" s="29"/>
      <c r="P70" s="29"/>
      <c r="Q70" s="29"/>
      <c r="R70" s="60"/>
      <c r="S70" s="29"/>
      <c r="T70" s="29"/>
      <c r="U70" s="61"/>
      <c r="V70" s="62"/>
      <c r="W70" s="49" t="s">
        <v>219</v>
      </c>
    </row>
    <row r="71" spans="1:23" ht="11.25" customHeight="1" x14ac:dyDescent="0.3">
      <c r="A71" s="20">
        <f t="shared" si="0"/>
        <v>57</v>
      </c>
      <c r="B71" s="29">
        <v>10</v>
      </c>
      <c r="C71" s="29" t="s">
        <v>233</v>
      </c>
      <c r="D71" s="29"/>
      <c r="E71" s="29">
        <v>32</v>
      </c>
      <c r="F71" s="58"/>
      <c r="G71" s="58" t="s">
        <v>217</v>
      </c>
      <c r="H71" s="29" t="s">
        <v>232</v>
      </c>
      <c r="I71" s="29"/>
      <c r="J71" s="29"/>
      <c r="K71" s="29"/>
      <c r="L71" s="29"/>
      <c r="M71" s="29"/>
      <c r="N71" s="47"/>
      <c r="O71" s="29">
        <v>1980000</v>
      </c>
      <c r="P71" s="47"/>
      <c r="Q71" s="29"/>
      <c r="R71" s="60"/>
      <c r="S71" s="29"/>
      <c r="T71" s="29"/>
      <c r="U71" s="61"/>
      <c r="V71" s="62"/>
      <c r="W71" s="49" t="s">
        <v>219</v>
      </c>
    </row>
    <row r="72" spans="1:23" ht="11.25" customHeight="1" x14ac:dyDescent="0.3">
      <c r="A72" s="20">
        <f t="shared" si="0"/>
        <v>58</v>
      </c>
      <c r="B72" s="29">
        <v>10</v>
      </c>
      <c r="C72" s="29" t="s">
        <v>234</v>
      </c>
      <c r="D72" s="29">
        <v>4</v>
      </c>
      <c r="E72" s="29"/>
      <c r="F72" s="58" t="s">
        <v>224</v>
      </c>
      <c r="G72" s="58" t="s">
        <v>217</v>
      </c>
      <c r="H72" s="29" t="s">
        <v>218</v>
      </c>
      <c r="I72" s="29"/>
      <c r="J72" s="29">
        <v>208000</v>
      </c>
      <c r="K72" s="29"/>
      <c r="L72" s="29"/>
      <c r="M72" s="29">
        <v>33000</v>
      </c>
      <c r="N72" s="47"/>
      <c r="O72" s="29"/>
      <c r="P72" s="29"/>
      <c r="Q72" s="29"/>
      <c r="R72" s="60"/>
      <c r="S72" s="29"/>
      <c r="T72" s="29"/>
      <c r="U72" s="61">
        <v>241000</v>
      </c>
      <c r="V72" s="62"/>
      <c r="W72" s="49"/>
    </row>
    <row r="73" spans="1:23" ht="11.25" customHeight="1" x14ac:dyDescent="0.3">
      <c r="A73" s="20">
        <f t="shared" si="0"/>
        <v>59</v>
      </c>
      <c r="B73" s="29">
        <v>10</v>
      </c>
      <c r="C73" s="29" t="s">
        <v>235</v>
      </c>
      <c r="D73" s="29">
        <v>4</v>
      </c>
      <c r="E73" s="29"/>
      <c r="F73" s="58" t="s">
        <v>236</v>
      </c>
      <c r="G73" s="58" t="s">
        <v>221</v>
      </c>
      <c r="H73" s="29" t="s">
        <v>218</v>
      </c>
      <c r="I73" s="29">
        <v>207900</v>
      </c>
      <c r="J73" s="29"/>
      <c r="K73" s="29"/>
      <c r="L73" s="29">
        <v>44000</v>
      </c>
      <c r="M73" s="29"/>
      <c r="N73" s="47"/>
      <c r="O73" s="29"/>
      <c r="P73" s="47"/>
      <c r="Q73" s="29"/>
      <c r="R73" s="60"/>
      <c r="S73" s="29"/>
      <c r="T73" s="29"/>
      <c r="U73" s="61"/>
      <c r="V73" s="62"/>
      <c r="W73" s="49" t="s">
        <v>237</v>
      </c>
    </row>
    <row r="74" spans="1:23" ht="11.25" customHeight="1" x14ac:dyDescent="0.3">
      <c r="A74" s="20">
        <f t="shared" si="0"/>
        <v>60</v>
      </c>
      <c r="B74" s="29">
        <v>10</v>
      </c>
      <c r="C74" s="29" t="s">
        <v>238</v>
      </c>
      <c r="D74" s="29"/>
      <c r="E74" s="29"/>
      <c r="F74" s="58" t="s">
        <v>226</v>
      </c>
      <c r="G74" s="58"/>
      <c r="H74" s="29" t="s">
        <v>218</v>
      </c>
      <c r="I74" s="29"/>
      <c r="J74" s="29"/>
      <c r="K74" s="29"/>
      <c r="L74" s="29">
        <v>15000</v>
      </c>
      <c r="M74" s="29"/>
      <c r="N74" s="47"/>
      <c r="O74" s="29"/>
      <c r="P74" s="29"/>
      <c r="Q74" s="29"/>
      <c r="R74" s="60"/>
      <c r="S74" s="29"/>
      <c r="T74" s="29"/>
      <c r="U74" s="61"/>
      <c r="V74" s="62"/>
      <c r="W74" s="49" t="s">
        <v>239</v>
      </c>
    </row>
    <row r="75" spans="1:23" ht="11.25" customHeight="1" x14ac:dyDescent="0.3">
      <c r="A75" s="20">
        <f t="shared" si="0"/>
        <v>61</v>
      </c>
      <c r="B75" s="29">
        <v>11</v>
      </c>
      <c r="C75" s="29" t="s">
        <v>240</v>
      </c>
      <c r="D75" s="29"/>
      <c r="E75" s="29">
        <v>32</v>
      </c>
      <c r="F75" s="58"/>
      <c r="G75" s="58" t="s">
        <v>241</v>
      </c>
      <c r="H75" s="29" t="s">
        <v>242</v>
      </c>
      <c r="I75" s="29"/>
      <c r="J75" s="29"/>
      <c r="K75" s="29"/>
      <c r="L75" s="29"/>
      <c r="M75" s="29"/>
      <c r="N75" s="47"/>
      <c r="O75" s="29">
        <v>1620000</v>
      </c>
      <c r="P75" s="29"/>
      <c r="Q75" s="29"/>
      <c r="R75" s="60"/>
      <c r="S75" s="29"/>
      <c r="T75" s="29"/>
      <c r="U75" s="61"/>
      <c r="V75" s="62"/>
      <c r="W75" s="49" t="s">
        <v>243</v>
      </c>
    </row>
    <row r="76" spans="1:23" ht="11.25" customHeight="1" x14ac:dyDescent="0.3">
      <c r="A76" s="20">
        <f t="shared" si="0"/>
        <v>62</v>
      </c>
      <c r="B76" s="29">
        <v>11</v>
      </c>
      <c r="C76" s="29" t="s">
        <v>244</v>
      </c>
      <c r="D76" s="29">
        <v>4</v>
      </c>
      <c r="E76" s="29"/>
      <c r="F76" s="58" t="s">
        <v>245</v>
      </c>
      <c r="G76" s="58" t="s">
        <v>246</v>
      </c>
      <c r="H76" s="29" t="s">
        <v>247</v>
      </c>
      <c r="I76" s="29">
        <v>207900</v>
      </c>
      <c r="J76" s="29"/>
      <c r="K76" s="29"/>
      <c r="L76" s="29">
        <v>44000</v>
      </c>
      <c r="M76" s="29"/>
      <c r="N76" s="47"/>
      <c r="O76" s="29"/>
      <c r="P76" s="29"/>
      <c r="Q76" s="29"/>
      <c r="R76" s="60"/>
      <c r="S76" s="29"/>
      <c r="T76" s="29"/>
      <c r="U76" s="61"/>
      <c r="V76" s="62"/>
      <c r="W76" s="49" t="s">
        <v>248</v>
      </c>
    </row>
    <row r="77" spans="1:23" ht="11.25" customHeight="1" x14ac:dyDescent="0.3">
      <c r="A77" s="20">
        <f t="shared" si="0"/>
        <v>63</v>
      </c>
      <c r="B77" s="29">
        <v>11</v>
      </c>
      <c r="C77" s="29" t="s">
        <v>249</v>
      </c>
      <c r="D77" s="29"/>
      <c r="E77" s="29"/>
      <c r="F77" s="58" t="s">
        <v>250</v>
      </c>
      <c r="G77" s="58"/>
      <c r="H77" s="29" t="s">
        <v>247</v>
      </c>
      <c r="I77" s="29"/>
      <c r="J77" s="29"/>
      <c r="K77" s="29"/>
      <c r="L77" s="29">
        <v>40000</v>
      </c>
      <c r="M77" s="29"/>
      <c r="N77" s="47"/>
      <c r="O77" s="29"/>
      <c r="P77" s="29"/>
      <c r="Q77" s="29"/>
      <c r="R77" s="60"/>
      <c r="S77" s="29"/>
      <c r="T77" s="29"/>
      <c r="U77" s="61"/>
      <c r="V77" s="62"/>
      <c r="W77" s="49" t="s">
        <v>251</v>
      </c>
    </row>
    <row r="78" spans="1:23" ht="11.25" customHeight="1" x14ac:dyDescent="0.3">
      <c r="A78" s="20">
        <f t="shared" si="0"/>
        <v>64</v>
      </c>
      <c r="B78" s="29">
        <v>11</v>
      </c>
      <c r="C78" s="29" t="s">
        <v>252</v>
      </c>
      <c r="D78" s="29">
        <v>6</v>
      </c>
      <c r="E78" s="29"/>
      <c r="F78" s="58"/>
      <c r="G78" s="58" t="s">
        <v>241</v>
      </c>
      <c r="H78" s="29" t="s">
        <v>247</v>
      </c>
      <c r="I78" s="29">
        <v>252000</v>
      </c>
      <c r="J78" s="29"/>
      <c r="K78" s="29"/>
      <c r="L78" s="29"/>
      <c r="M78" s="29"/>
      <c r="N78" s="47"/>
      <c r="O78" s="29"/>
      <c r="P78" s="29"/>
      <c r="Q78" s="29"/>
      <c r="R78" s="60"/>
      <c r="S78" s="29"/>
      <c r="T78" s="29"/>
      <c r="U78" s="61"/>
      <c r="V78" s="62"/>
      <c r="W78" s="49" t="s">
        <v>248</v>
      </c>
    </row>
    <row r="79" spans="1:23" ht="11.25" customHeight="1" x14ac:dyDescent="0.3">
      <c r="A79" s="20">
        <f t="shared" si="0"/>
        <v>65</v>
      </c>
      <c r="B79" s="29">
        <v>11</v>
      </c>
      <c r="C79" s="29" t="s">
        <v>253</v>
      </c>
      <c r="D79" s="29">
        <v>1</v>
      </c>
      <c r="E79" s="29"/>
      <c r="F79" s="58" t="s">
        <v>254</v>
      </c>
      <c r="G79" s="58"/>
      <c r="H79" s="29" t="s">
        <v>247</v>
      </c>
      <c r="I79" s="29"/>
      <c r="J79" s="29"/>
      <c r="K79" s="29"/>
      <c r="L79" s="29">
        <v>10000</v>
      </c>
      <c r="M79" s="29"/>
      <c r="N79" s="47"/>
      <c r="O79" s="29"/>
      <c r="P79" s="29"/>
      <c r="Q79" s="29"/>
      <c r="R79" s="60"/>
      <c r="S79" s="29"/>
      <c r="T79" s="29"/>
      <c r="U79" s="61"/>
      <c r="V79" s="62"/>
      <c r="W79" s="49" t="s">
        <v>251</v>
      </c>
    </row>
    <row r="80" spans="1:23" ht="11.25" customHeight="1" x14ac:dyDescent="0.3">
      <c r="A80" s="20">
        <f t="shared" si="0"/>
        <v>66</v>
      </c>
      <c r="B80" s="29">
        <v>11</v>
      </c>
      <c r="C80" s="29" t="s">
        <v>255</v>
      </c>
      <c r="D80" s="29">
        <v>7</v>
      </c>
      <c r="E80" s="29"/>
      <c r="F80" s="58"/>
      <c r="G80" s="58" t="s">
        <v>246</v>
      </c>
      <c r="H80" s="29" t="s">
        <v>247</v>
      </c>
      <c r="I80" s="29">
        <v>252000</v>
      </c>
      <c r="J80" s="29"/>
      <c r="K80" s="29"/>
      <c r="L80" s="29"/>
      <c r="M80" s="29"/>
      <c r="N80" s="47"/>
      <c r="O80" s="29"/>
      <c r="P80" s="29"/>
      <c r="Q80" s="29"/>
      <c r="R80" s="60"/>
      <c r="S80" s="29"/>
      <c r="T80" s="29"/>
      <c r="U80" s="61"/>
      <c r="V80" s="62"/>
      <c r="W80" s="49" t="s">
        <v>256</v>
      </c>
    </row>
    <row r="81" spans="1:23" ht="11.25" customHeight="1" x14ac:dyDescent="0.3">
      <c r="A81" s="20">
        <f t="shared" si="0"/>
        <v>67</v>
      </c>
      <c r="B81" s="29">
        <v>11</v>
      </c>
      <c r="C81" s="29" t="s">
        <v>255</v>
      </c>
      <c r="D81" s="29"/>
      <c r="E81" s="29">
        <v>50</v>
      </c>
      <c r="F81" s="58"/>
      <c r="G81" s="58" t="s">
        <v>246</v>
      </c>
      <c r="H81" s="29" t="s">
        <v>257</v>
      </c>
      <c r="I81" s="29"/>
      <c r="J81" s="29"/>
      <c r="K81" s="29"/>
      <c r="L81" s="29"/>
      <c r="M81" s="29"/>
      <c r="N81" s="47"/>
      <c r="O81" s="29">
        <v>2500000</v>
      </c>
      <c r="P81" s="29"/>
      <c r="Q81" s="29"/>
      <c r="R81" s="60"/>
      <c r="S81" s="29"/>
      <c r="T81" s="29"/>
      <c r="U81" s="61"/>
      <c r="V81" s="62"/>
      <c r="W81" s="49" t="s">
        <v>256</v>
      </c>
    </row>
    <row r="82" spans="1:23" ht="11.25" customHeight="1" x14ac:dyDescent="0.3">
      <c r="A82" s="20">
        <f t="shared" ref="A82:A144" si="1">ROW()-14</f>
        <v>68</v>
      </c>
      <c r="B82" s="29">
        <v>11</v>
      </c>
      <c r="C82" s="29" t="s">
        <v>258</v>
      </c>
      <c r="D82" s="29"/>
      <c r="E82" s="29">
        <v>10</v>
      </c>
      <c r="F82" s="58"/>
      <c r="G82" s="58" t="s">
        <v>241</v>
      </c>
      <c r="H82" s="29" t="s">
        <v>259</v>
      </c>
      <c r="I82" s="29"/>
      <c r="J82" s="29"/>
      <c r="K82" s="29"/>
      <c r="L82" s="29"/>
      <c r="M82" s="29"/>
      <c r="N82" s="47"/>
      <c r="O82" s="29">
        <v>800000</v>
      </c>
      <c r="P82" s="29"/>
      <c r="Q82" s="29"/>
      <c r="R82" s="60"/>
      <c r="S82" s="29"/>
      <c r="T82" s="29"/>
      <c r="U82" s="61"/>
      <c r="V82" s="62"/>
      <c r="W82" s="49" t="s">
        <v>251</v>
      </c>
    </row>
    <row r="83" spans="1:23" ht="11.25" customHeight="1" x14ac:dyDescent="0.3">
      <c r="A83" s="20">
        <f t="shared" si="1"/>
        <v>69</v>
      </c>
      <c r="B83" s="29">
        <v>11</v>
      </c>
      <c r="C83" s="29" t="s">
        <v>260</v>
      </c>
      <c r="D83" s="29"/>
      <c r="E83" s="29"/>
      <c r="F83" s="58"/>
      <c r="G83" s="58"/>
      <c r="H83" s="29"/>
      <c r="I83" s="29"/>
      <c r="J83" s="29"/>
      <c r="K83" s="29"/>
      <c r="L83" s="29"/>
      <c r="M83" s="29"/>
      <c r="N83" s="47"/>
      <c r="O83" s="29"/>
      <c r="P83" s="47"/>
      <c r="Q83" s="29"/>
      <c r="R83" s="60"/>
      <c r="S83" s="29"/>
      <c r="T83" s="29"/>
      <c r="U83" s="61">
        <v>1980000</v>
      </c>
      <c r="V83" s="62" t="s">
        <v>261</v>
      </c>
      <c r="W83" s="49"/>
    </row>
    <row r="84" spans="1:23" ht="11.25" customHeight="1" x14ac:dyDescent="0.3">
      <c r="A84" s="20">
        <f t="shared" si="1"/>
        <v>70</v>
      </c>
      <c r="B84" s="29">
        <v>12</v>
      </c>
      <c r="C84" s="29" t="s">
        <v>263</v>
      </c>
      <c r="D84" s="29">
        <v>15</v>
      </c>
      <c r="E84" s="29"/>
      <c r="F84" s="58"/>
      <c r="G84" s="58" t="s">
        <v>264</v>
      </c>
      <c r="H84" s="29" t="s">
        <v>265</v>
      </c>
      <c r="I84" s="29">
        <v>550000</v>
      </c>
      <c r="J84" s="29"/>
      <c r="K84" s="29"/>
      <c r="L84" s="29"/>
      <c r="M84" s="29"/>
      <c r="N84" s="47"/>
      <c r="O84" s="29"/>
      <c r="P84" s="29"/>
      <c r="Q84" s="29"/>
      <c r="R84" s="60"/>
      <c r="S84" s="29"/>
      <c r="T84" s="29"/>
      <c r="U84" s="61"/>
      <c r="V84" s="62"/>
      <c r="W84" s="49" t="s">
        <v>266</v>
      </c>
    </row>
    <row r="85" spans="1:23" ht="11.25" customHeight="1" x14ac:dyDescent="0.3">
      <c r="A85" s="20">
        <f t="shared" si="1"/>
        <v>71</v>
      </c>
      <c r="B85" s="29">
        <v>12</v>
      </c>
      <c r="C85" s="29" t="s">
        <v>267</v>
      </c>
      <c r="D85" s="29"/>
      <c r="E85" s="29">
        <v>12</v>
      </c>
      <c r="F85" s="58"/>
      <c r="G85" s="58" t="s">
        <v>264</v>
      </c>
      <c r="H85" s="29" t="s">
        <v>268</v>
      </c>
      <c r="I85" s="29"/>
      <c r="J85" s="29"/>
      <c r="K85" s="29"/>
      <c r="L85" s="29"/>
      <c r="M85" s="29"/>
      <c r="N85" s="47"/>
      <c r="O85" s="29">
        <v>720000</v>
      </c>
      <c r="P85" s="29"/>
      <c r="Q85" s="29"/>
      <c r="R85" s="60"/>
      <c r="S85" s="29"/>
      <c r="T85" s="29"/>
      <c r="U85" s="61"/>
      <c r="V85" s="62"/>
      <c r="W85" s="49" t="s">
        <v>269</v>
      </c>
    </row>
    <row r="86" spans="1:23" ht="11.25" customHeight="1" x14ac:dyDescent="0.3">
      <c r="A86" s="20">
        <f t="shared" si="1"/>
        <v>72</v>
      </c>
      <c r="B86" s="29">
        <v>12</v>
      </c>
      <c r="C86" s="29" t="s">
        <v>270</v>
      </c>
      <c r="D86" s="29"/>
      <c r="E86" s="29">
        <v>17</v>
      </c>
      <c r="F86" s="58"/>
      <c r="G86" s="58" t="s">
        <v>264</v>
      </c>
      <c r="H86" s="29" t="s">
        <v>268</v>
      </c>
      <c r="I86" s="29"/>
      <c r="J86" s="29"/>
      <c r="K86" s="29"/>
      <c r="L86" s="29"/>
      <c r="M86" s="29"/>
      <c r="N86" s="47"/>
      <c r="O86" s="29">
        <v>1232000</v>
      </c>
      <c r="P86" s="29"/>
      <c r="Q86" s="29"/>
      <c r="R86" s="60"/>
      <c r="S86" s="29"/>
      <c r="T86" s="29"/>
      <c r="U86" s="61"/>
      <c r="V86" s="62"/>
      <c r="W86" s="49" t="s">
        <v>271</v>
      </c>
    </row>
    <row r="87" spans="1:23" ht="11.25" customHeight="1" x14ac:dyDescent="0.3">
      <c r="A87" s="20">
        <f t="shared" si="1"/>
        <v>73</v>
      </c>
      <c r="B87" s="29">
        <v>12</v>
      </c>
      <c r="C87" s="29" t="s">
        <v>272</v>
      </c>
      <c r="D87" s="29"/>
      <c r="E87" s="29">
        <v>26</v>
      </c>
      <c r="F87" s="58"/>
      <c r="G87" s="58" t="s">
        <v>264</v>
      </c>
      <c r="H87" s="29" t="s">
        <v>273</v>
      </c>
      <c r="I87" s="29"/>
      <c r="J87" s="29"/>
      <c r="K87" s="29"/>
      <c r="L87" s="29"/>
      <c r="M87" s="29"/>
      <c r="N87" s="47"/>
      <c r="O87" s="29">
        <v>1848000</v>
      </c>
      <c r="P87" s="29"/>
      <c r="Q87" s="29"/>
      <c r="R87" s="60"/>
      <c r="S87" s="29"/>
      <c r="T87" s="29"/>
      <c r="U87" s="61"/>
      <c r="V87" s="62"/>
      <c r="W87" s="49" t="s">
        <v>274</v>
      </c>
    </row>
    <row r="88" spans="1:23" ht="11.25" customHeight="1" x14ac:dyDescent="0.3">
      <c r="A88" s="20">
        <f t="shared" si="1"/>
        <v>74</v>
      </c>
      <c r="B88" s="29">
        <v>12</v>
      </c>
      <c r="C88" s="29" t="s">
        <v>275</v>
      </c>
      <c r="D88" s="29"/>
      <c r="E88" s="29"/>
      <c r="F88" s="58" t="s">
        <v>276</v>
      </c>
      <c r="G88" s="58"/>
      <c r="H88" s="29" t="s">
        <v>273</v>
      </c>
      <c r="I88" s="29"/>
      <c r="J88" s="29"/>
      <c r="K88" s="29"/>
      <c r="L88" s="29"/>
      <c r="M88" s="29"/>
      <c r="N88" s="47"/>
      <c r="O88" s="29">
        <v>-1100000</v>
      </c>
      <c r="P88" s="29"/>
      <c r="Q88" s="29"/>
      <c r="R88" s="60"/>
      <c r="S88" s="29"/>
      <c r="T88" s="29"/>
      <c r="U88" s="61"/>
      <c r="V88" s="62"/>
      <c r="W88" s="49" t="s">
        <v>274</v>
      </c>
    </row>
    <row r="89" spans="1:23" ht="11.25" customHeight="1" x14ac:dyDescent="0.3">
      <c r="A89" s="20">
        <f t="shared" si="1"/>
        <v>75</v>
      </c>
      <c r="B89" s="29">
        <v>12</v>
      </c>
      <c r="C89" s="29" t="s">
        <v>275</v>
      </c>
      <c r="D89" s="29"/>
      <c r="E89" s="29"/>
      <c r="F89" s="58" t="s">
        <v>276</v>
      </c>
      <c r="G89" s="58"/>
      <c r="H89" s="29" t="s">
        <v>273</v>
      </c>
      <c r="I89" s="29"/>
      <c r="J89" s="29"/>
      <c r="K89" s="29"/>
      <c r="L89" s="29"/>
      <c r="M89" s="29"/>
      <c r="N89" s="47"/>
      <c r="O89" s="29">
        <v>1100000</v>
      </c>
      <c r="P89" s="29"/>
      <c r="Q89" s="29"/>
      <c r="R89" s="60"/>
      <c r="S89" s="29"/>
      <c r="T89" s="29"/>
      <c r="U89" s="61"/>
      <c r="V89" s="62"/>
      <c r="W89" s="49" t="s">
        <v>277</v>
      </c>
    </row>
    <row r="90" spans="1:23" ht="11.25" customHeight="1" x14ac:dyDescent="0.3">
      <c r="A90" s="20">
        <f t="shared" si="1"/>
        <v>76</v>
      </c>
      <c r="B90" s="29">
        <v>13</v>
      </c>
      <c r="C90" s="29" t="s">
        <v>278</v>
      </c>
      <c r="D90" s="29"/>
      <c r="E90" s="29">
        <v>30</v>
      </c>
      <c r="F90" s="58"/>
      <c r="G90" s="58" t="s">
        <v>279</v>
      </c>
      <c r="H90" s="29" t="s">
        <v>280</v>
      </c>
      <c r="I90" s="29"/>
      <c r="J90" s="29"/>
      <c r="K90" s="29"/>
      <c r="L90" s="29"/>
      <c r="M90" s="29"/>
      <c r="N90" s="47"/>
      <c r="O90" s="29">
        <v>1650000</v>
      </c>
      <c r="P90" s="29"/>
      <c r="Q90" s="29"/>
      <c r="R90" s="60"/>
      <c r="S90" s="29"/>
      <c r="T90" s="29"/>
      <c r="U90" s="61"/>
      <c r="V90" s="62"/>
      <c r="W90" s="49" t="s">
        <v>281</v>
      </c>
    </row>
    <row r="91" spans="1:23" ht="11.25" customHeight="1" x14ac:dyDescent="0.3">
      <c r="A91" s="20">
        <f t="shared" si="1"/>
        <v>77</v>
      </c>
      <c r="B91" s="29">
        <v>13</v>
      </c>
      <c r="C91" s="29" t="s">
        <v>278</v>
      </c>
      <c r="D91" s="29">
        <v>4</v>
      </c>
      <c r="E91" s="29"/>
      <c r="F91" s="58"/>
      <c r="G91" s="58" t="s">
        <v>279</v>
      </c>
      <c r="H91" s="29" t="s">
        <v>282</v>
      </c>
      <c r="I91" s="29">
        <v>207900</v>
      </c>
      <c r="J91" s="29"/>
      <c r="K91" s="29"/>
      <c r="L91" s="29"/>
      <c r="M91" s="29"/>
      <c r="N91" s="47"/>
      <c r="O91" s="29"/>
      <c r="P91" s="29"/>
      <c r="Q91" s="29"/>
      <c r="R91" s="60"/>
      <c r="S91" s="29"/>
      <c r="T91" s="29"/>
      <c r="U91" s="61"/>
      <c r="V91" s="62"/>
      <c r="W91" s="49" t="s">
        <v>281</v>
      </c>
    </row>
    <row r="92" spans="1:23" ht="11.25" customHeight="1" x14ac:dyDescent="0.3">
      <c r="A92" s="20">
        <f t="shared" si="1"/>
        <v>78</v>
      </c>
      <c r="B92" s="29">
        <v>13</v>
      </c>
      <c r="C92" s="29" t="s">
        <v>283</v>
      </c>
      <c r="D92" s="29">
        <v>12</v>
      </c>
      <c r="E92" s="29"/>
      <c r="F92" s="58"/>
      <c r="G92" s="58" t="s">
        <v>284</v>
      </c>
      <c r="H92" s="29" t="s">
        <v>282</v>
      </c>
      <c r="I92" s="29">
        <v>425000</v>
      </c>
      <c r="J92" s="29"/>
      <c r="K92" s="29"/>
      <c r="L92" s="29"/>
      <c r="M92" s="29"/>
      <c r="N92" s="47"/>
      <c r="O92" s="29"/>
      <c r="P92" s="29"/>
      <c r="Q92" s="29"/>
      <c r="R92" s="60"/>
      <c r="S92" s="29"/>
      <c r="T92" s="29"/>
      <c r="U92" s="61"/>
      <c r="V92" s="62"/>
      <c r="W92" s="49" t="s">
        <v>285</v>
      </c>
    </row>
    <row r="93" spans="1:23" ht="11.25" customHeight="1" x14ac:dyDescent="0.3">
      <c r="A93" s="20">
        <f t="shared" si="1"/>
        <v>79</v>
      </c>
      <c r="B93" s="29">
        <v>13</v>
      </c>
      <c r="C93" s="29" t="s">
        <v>286</v>
      </c>
      <c r="D93" s="29">
        <v>4</v>
      </c>
      <c r="E93" s="29"/>
      <c r="F93" s="58"/>
      <c r="G93" s="58" t="s">
        <v>284</v>
      </c>
      <c r="H93" s="29" t="s">
        <v>282</v>
      </c>
      <c r="I93" s="29">
        <v>207900</v>
      </c>
      <c r="J93" s="29"/>
      <c r="K93" s="29"/>
      <c r="L93" s="29"/>
      <c r="M93" s="29"/>
      <c r="N93" s="47"/>
      <c r="O93" s="29"/>
      <c r="P93" s="29"/>
      <c r="Q93" s="29"/>
      <c r="R93" s="60"/>
      <c r="S93" s="29"/>
      <c r="T93" s="29"/>
      <c r="U93" s="61"/>
      <c r="V93" s="62"/>
      <c r="W93" s="49" t="s">
        <v>287</v>
      </c>
    </row>
    <row r="94" spans="1:23" ht="11.25" customHeight="1" x14ac:dyDescent="0.3">
      <c r="A94" s="20">
        <f t="shared" si="1"/>
        <v>80</v>
      </c>
      <c r="B94" s="29">
        <v>13</v>
      </c>
      <c r="C94" s="29" t="s">
        <v>288</v>
      </c>
      <c r="D94" s="29"/>
      <c r="E94" s="29">
        <v>4</v>
      </c>
      <c r="F94" s="58"/>
      <c r="G94" s="58" t="s">
        <v>279</v>
      </c>
      <c r="H94" s="29" t="s">
        <v>289</v>
      </c>
      <c r="I94" s="29"/>
      <c r="J94" s="29"/>
      <c r="K94" s="29"/>
      <c r="L94" s="29"/>
      <c r="M94" s="29"/>
      <c r="N94" s="47"/>
      <c r="O94" s="29">
        <v>80000</v>
      </c>
      <c r="P94" s="29"/>
      <c r="Q94" s="29"/>
      <c r="R94" s="60"/>
      <c r="S94" s="29"/>
      <c r="T94" s="29"/>
      <c r="U94" s="61"/>
      <c r="V94" s="62"/>
      <c r="W94" s="49" t="s">
        <v>290</v>
      </c>
    </row>
    <row r="95" spans="1:23" ht="11.25" customHeight="1" x14ac:dyDescent="0.3">
      <c r="A95" s="20">
        <f t="shared" si="1"/>
        <v>81</v>
      </c>
      <c r="B95" s="29">
        <v>13</v>
      </c>
      <c r="C95" s="29" t="s">
        <v>288</v>
      </c>
      <c r="D95" s="29">
        <v>2</v>
      </c>
      <c r="E95" s="29"/>
      <c r="F95" s="58"/>
      <c r="G95" s="58" t="s">
        <v>279</v>
      </c>
      <c r="H95" s="29" t="s">
        <v>282</v>
      </c>
      <c r="I95" s="29">
        <v>113900</v>
      </c>
      <c r="J95" s="29"/>
      <c r="K95" s="29"/>
      <c r="L95" s="29"/>
      <c r="M95" s="29"/>
      <c r="N95" s="47"/>
      <c r="O95" s="29"/>
      <c r="P95" s="29"/>
      <c r="Q95" s="29"/>
      <c r="R95" s="60"/>
      <c r="S95" s="29"/>
      <c r="T95" s="29"/>
      <c r="U95" s="61"/>
      <c r="V95" s="62"/>
      <c r="W95" s="49" t="s">
        <v>290</v>
      </c>
    </row>
    <row r="96" spans="1:23" ht="11.25" customHeight="1" x14ac:dyDescent="0.3">
      <c r="A96" s="20">
        <f t="shared" si="1"/>
        <v>82</v>
      </c>
      <c r="B96" s="29">
        <v>13</v>
      </c>
      <c r="C96" s="29" t="s">
        <v>291</v>
      </c>
      <c r="D96" s="29"/>
      <c r="E96" s="29">
        <v>4</v>
      </c>
      <c r="F96" s="58"/>
      <c r="G96" s="58" t="s">
        <v>279</v>
      </c>
      <c r="H96" s="29" t="s">
        <v>292</v>
      </c>
      <c r="I96" s="29"/>
      <c r="J96" s="29"/>
      <c r="K96" s="29"/>
      <c r="L96" s="29"/>
      <c r="M96" s="29"/>
      <c r="N96" s="47"/>
      <c r="O96" s="29">
        <v>80000</v>
      </c>
      <c r="P96" s="29"/>
      <c r="Q96" s="29"/>
      <c r="R96" s="60"/>
      <c r="S96" s="29"/>
      <c r="T96" s="29"/>
      <c r="U96" s="61"/>
      <c r="V96" s="62"/>
      <c r="W96" s="49" t="s">
        <v>293</v>
      </c>
    </row>
    <row r="97" spans="1:23" ht="11.25" customHeight="1" x14ac:dyDescent="0.3">
      <c r="A97" s="20">
        <f t="shared" si="1"/>
        <v>83</v>
      </c>
      <c r="B97" s="29">
        <v>13</v>
      </c>
      <c r="C97" s="29" t="s">
        <v>291</v>
      </c>
      <c r="D97" s="29">
        <v>2</v>
      </c>
      <c r="E97" s="29"/>
      <c r="F97" s="58" t="s">
        <v>294</v>
      </c>
      <c r="G97" s="58" t="s">
        <v>279</v>
      </c>
      <c r="H97" s="29" t="s">
        <v>282</v>
      </c>
      <c r="I97" s="29">
        <v>99000</v>
      </c>
      <c r="J97" s="29"/>
      <c r="K97" s="29"/>
      <c r="L97" s="29">
        <v>11000</v>
      </c>
      <c r="M97" s="29"/>
      <c r="N97" s="47"/>
      <c r="O97" s="29"/>
      <c r="P97" s="29"/>
      <c r="Q97" s="29"/>
      <c r="R97" s="60"/>
      <c r="S97" s="29"/>
      <c r="T97" s="29"/>
      <c r="U97" s="61"/>
      <c r="V97" s="62"/>
      <c r="W97" s="49" t="s">
        <v>293</v>
      </c>
    </row>
    <row r="98" spans="1:23" ht="11.25" customHeight="1" x14ac:dyDescent="0.3">
      <c r="A98" s="20">
        <f t="shared" si="1"/>
        <v>84</v>
      </c>
      <c r="B98" s="29">
        <v>13</v>
      </c>
      <c r="C98" s="29" t="s">
        <v>295</v>
      </c>
      <c r="D98" s="29">
        <v>24</v>
      </c>
      <c r="E98" s="29"/>
      <c r="F98" s="58"/>
      <c r="G98" s="58" t="s">
        <v>284</v>
      </c>
      <c r="H98" s="29" t="s">
        <v>282</v>
      </c>
      <c r="I98" s="29">
        <v>792000</v>
      </c>
      <c r="J98" s="29"/>
      <c r="K98" s="29"/>
      <c r="L98" s="29"/>
      <c r="M98" s="29"/>
      <c r="N98" s="47"/>
      <c r="O98" s="29"/>
      <c r="P98" s="47"/>
      <c r="Q98" s="29"/>
      <c r="R98" s="60"/>
      <c r="S98" s="29"/>
      <c r="T98" s="29"/>
      <c r="U98" s="61"/>
      <c r="V98" s="62"/>
      <c r="W98" s="49" t="s">
        <v>290</v>
      </c>
    </row>
    <row r="99" spans="1:23" ht="11.25" customHeight="1" x14ac:dyDescent="0.3">
      <c r="A99" s="20">
        <f t="shared" si="1"/>
        <v>85</v>
      </c>
      <c r="B99" s="29">
        <v>13</v>
      </c>
      <c r="C99" s="29" t="s">
        <v>296</v>
      </c>
      <c r="D99" s="29"/>
      <c r="E99" s="29">
        <v>15</v>
      </c>
      <c r="F99" s="58"/>
      <c r="G99" s="58" t="s">
        <v>279</v>
      </c>
      <c r="H99" s="29" t="s">
        <v>292</v>
      </c>
      <c r="I99" s="29"/>
      <c r="J99" s="29"/>
      <c r="K99" s="29"/>
      <c r="L99" s="29"/>
      <c r="M99" s="29"/>
      <c r="N99" s="47"/>
      <c r="O99" s="29">
        <v>990000</v>
      </c>
      <c r="P99" s="29"/>
      <c r="Q99" s="29"/>
      <c r="R99" s="60"/>
      <c r="S99" s="29"/>
      <c r="T99" s="29"/>
      <c r="U99" s="61"/>
      <c r="V99" s="62"/>
      <c r="W99" s="49" t="s">
        <v>293</v>
      </c>
    </row>
    <row r="100" spans="1:23" ht="11.25" customHeight="1" x14ac:dyDescent="0.3">
      <c r="A100" s="20">
        <f t="shared" si="1"/>
        <v>86</v>
      </c>
      <c r="B100" s="29">
        <v>14</v>
      </c>
      <c r="C100" s="29" t="s">
        <v>297</v>
      </c>
      <c r="D100" s="29"/>
      <c r="E100" s="29">
        <v>20</v>
      </c>
      <c r="F100" s="58"/>
      <c r="G100" s="58" t="s">
        <v>298</v>
      </c>
      <c r="H100" s="29" t="s">
        <v>299</v>
      </c>
      <c r="I100" s="29"/>
      <c r="J100" s="29"/>
      <c r="K100" s="29"/>
      <c r="L100" s="29"/>
      <c r="M100" s="29"/>
      <c r="N100" s="47"/>
      <c r="O100" s="29">
        <v>1000000</v>
      </c>
      <c r="P100" s="29"/>
      <c r="Q100" s="29"/>
      <c r="R100" s="60"/>
      <c r="S100" s="29"/>
      <c r="T100" s="29"/>
      <c r="U100" s="61"/>
      <c r="V100" s="62"/>
      <c r="W100" s="49" t="s">
        <v>300</v>
      </c>
    </row>
    <row r="101" spans="1:23" ht="11.25" customHeight="1" x14ac:dyDescent="0.3">
      <c r="A101" s="20">
        <f t="shared" si="1"/>
        <v>87</v>
      </c>
      <c r="B101" s="29">
        <v>14</v>
      </c>
      <c r="C101" s="29" t="s">
        <v>301</v>
      </c>
      <c r="D101" s="29"/>
      <c r="E101" s="29"/>
      <c r="F101" s="58" t="s">
        <v>302</v>
      </c>
      <c r="G101" s="58"/>
      <c r="H101" s="29" t="s">
        <v>303</v>
      </c>
      <c r="I101" s="29"/>
      <c r="J101" s="29"/>
      <c r="K101" s="29"/>
      <c r="L101" s="29">
        <v>20000</v>
      </c>
      <c r="M101" s="29"/>
      <c r="N101" s="47"/>
      <c r="O101" s="29"/>
      <c r="P101" s="29"/>
      <c r="Q101" s="29"/>
      <c r="R101" s="60"/>
      <c r="S101" s="29"/>
      <c r="T101" s="29"/>
      <c r="U101" s="61"/>
      <c r="V101" s="62"/>
      <c r="W101" s="49" t="s">
        <v>304</v>
      </c>
    </row>
    <row r="102" spans="1:23" ht="11.25" customHeight="1" x14ac:dyDescent="0.3">
      <c r="A102" s="20">
        <f t="shared" si="1"/>
        <v>88</v>
      </c>
      <c r="B102" s="29">
        <v>14</v>
      </c>
      <c r="C102" s="29" t="s">
        <v>305</v>
      </c>
      <c r="D102" s="29">
        <v>13</v>
      </c>
      <c r="E102" s="29"/>
      <c r="F102" s="58"/>
      <c r="G102" s="58" t="s">
        <v>298</v>
      </c>
      <c r="H102" s="29" t="s">
        <v>303</v>
      </c>
      <c r="I102" s="29">
        <v>500000</v>
      </c>
      <c r="J102" s="29"/>
      <c r="K102" s="29"/>
      <c r="L102" s="29"/>
      <c r="M102" s="29"/>
      <c r="N102" s="47"/>
      <c r="O102" s="29"/>
      <c r="P102" s="29"/>
      <c r="Q102" s="29"/>
      <c r="R102" s="60"/>
      <c r="S102" s="29"/>
      <c r="T102" s="29"/>
      <c r="U102" s="61"/>
      <c r="V102" s="62"/>
      <c r="W102" s="49" t="s">
        <v>306</v>
      </c>
    </row>
    <row r="103" spans="1:23" ht="11.25" customHeight="1" x14ac:dyDescent="0.3">
      <c r="A103" s="20">
        <f t="shared" si="1"/>
        <v>89</v>
      </c>
      <c r="B103" s="29">
        <v>14</v>
      </c>
      <c r="C103" s="29" t="s">
        <v>305</v>
      </c>
      <c r="D103" s="29"/>
      <c r="E103" s="29">
        <v>100</v>
      </c>
      <c r="F103" s="58"/>
      <c r="G103" s="58" t="s">
        <v>298</v>
      </c>
      <c r="H103" s="29" t="s">
        <v>307</v>
      </c>
      <c r="I103" s="29"/>
      <c r="J103" s="29"/>
      <c r="K103" s="29"/>
      <c r="L103" s="29"/>
      <c r="M103" s="29"/>
      <c r="N103" s="47"/>
      <c r="O103" s="29">
        <v>6100000</v>
      </c>
      <c r="P103" s="29"/>
      <c r="Q103" s="29"/>
      <c r="R103" s="60"/>
      <c r="S103" s="29"/>
      <c r="T103" s="29"/>
      <c r="U103" s="61"/>
      <c r="V103" s="62"/>
      <c r="W103" s="49" t="s">
        <v>308</v>
      </c>
    </row>
    <row r="104" spans="1:23" ht="11.25" customHeight="1" x14ac:dyDescent="0.3">
      <c r="A104" s="20">
        <f t="shared" si="1"/>
        <v>90</v>
      </c>
      <c r="B104" s="29">
        <v>14</v>
      </c>
      <c r="C104" s="29" t="s">
        <v>309</v>
      </c>
      <c r="D104" s="29"/>
      <c r="E104" s="29"/>
      <c r="F104" s="58" t="s">
        <v>310</v>
      </c>
      <c r="G104" s="58"/>
      <c r="H104" s="29" t="s">
        <v>311</v>
      </c>
      <c r="I104" s="29"/>
      <c r="J104" s="29"/>
      <c r="K104" s="29"/>
      <c r="L104" s="29">
        <v>20000</v>
      </c>
      <c r="M104" s="29"/>
      <c r="N104" s="47"/>
      <c r="O104" s="29"/>
      <c r="P104" s="29"/>
      <c r="Q104" s="29"/>
      <c r="R104" s="60"/>
      <c r="S104" s="29"/>
      <c r="T104" s="29"/>
      <c r="U104" s="61"/>
      <c r="V104" s="62"/>
      <c r="W104" s="49" t="s">
        <v>312</v>
      </c>
    </row>
    <row r="105" spans="1:23" ht="11.25" customHeight="1" x14ac:dyDescent="0.3">
      <c r="A105" s="20">
        <v>89</v>
      </c>
      <c r="B105" s="29">
        <v>14</v>
      </c>
      <c r="C105" s="29" t="s">
        <v>313</v>
      </c>
      <c r="D105" s="29"/>
      <c r="E105" s="29"/>
      <c r="F105" s="58" t="s">
        <v>314</v>
      </c>
      <c r="G105" s="58"/>
      <c r="H105" s="29" t="s">
        <v>311</v>
      </c>
      <c r="I105" s="29"/>
      <c r="J105" s="29"/>
      <c r="K105" s="29"/>
      <c r="L105" s="29">
        <v>13000</v>
      </c>
      <c r="M105" s="29"/>
      <c r="N105" s="47"/>
      <c r="O105" s="29"/>
      <c r="P105" s="29"/>
      <c r="Q105" s="29"/>
      <c r="R105" s="60"/>
      <c r="S105" s="29"/>
      <c r="T105" s="29"/>
      <c r="U105" s="61"/>
      <c r="V105" s="62"/>
      <c r="W105" s="49" t="s">
        <v>315</v>
      </c>
    </row>
    <row r="106" spans="1:23" ht="11.25" customHeight="1" x14ac:dyDescent="0.3">
      <c r="A106" s="20">
        <f t="shared" si="1"/>
        <v>92</v>
      </c>
      <c r="B106" s="29">
        <v>15</v>
      </c>
      <c r="C106" s="29" t="s">
        <v>316</v>
      </c>
      <c r="D106" s="29">
        <v>7</v>
      </c>
      <c r="E106" s="29"/>
      <c r="F106" s="58" t="s">
        <v>317</v>
      </c>
      <c r="G106" s="58" t="s">
        <v>318</v>
      </c>
      <c r="H106" s="29" t="s">
        <v>311</v>
      </c>
      <c r="I106" s="29">
        <v>252000</v>
      </c>
      <c r="J106" s="29"/>
      <c r="K106" s="29"/>
      <c r="L106" s="29">
        <v>140000</v>
      </c>
      <c r="M106" s="29"/>
      <c r="N106" s="47"/>
      <c r="O106" s="29"/>
      <c r="P106" s="29"/>
      <c r="Q106" s="29"/>
      <c r="R106" s="60"/>
      <c r="S106" s="29"/>
      <c r="T106" s="29"/>
      <c r="U106" s="61"/>
      <c r="V106" s="62"/>
      <c r="W106" s="49" t="s">
        <v>319</v>
      </c>
    </row>
    <row r="107" spans="1:23" ht="11.25" customHeight="1" x14ac:dyDescent="0.3">
      <c r="A107" s="20">
        <f t="shared" si="1"/>
        <v>93</v>
      </c>
      <c r="B107" s="29">
        <v>16</v>
      </c>
      <c r="C107" s="29" t="s">
        <v>320</v>
      </c>
      <c r="D107" s="29"/>
      <c r="E107" s="29"/>
      <c r="F107" s="58" t="s">
        <v>310</v>
      </c>
      <c r="G107" s="58"/>
      <c r="H107" s="29" t="s">
        <v>311</v>
      </c>
      <c r="I107" s="29"/>
      <c r="J107" s="29"/>
      <c r="K107" s="29"/>
      <c r="L107" s="29">
        <v>15000</v>
      </c>
      <c r="M107" s="29"/>
      <c r="N107" s="47"/>
      <c r="O107" s="29"/>
      <c r="P107" s="29"/>
      <c r="Q107" s="29"/>
      <c r="R107" s="60"/>
      <c r="S107" s="29"/>
      <c r="T107" s="29"/>
      <c r="U107" s="61"/>
      <c r="V107" s="62"/>
      <c r="W107" s="49" t="s">
        <v>321</v>
      </c>
    </row>
    <row r="108" spans="1:23" ht="11.25" customHeight="1" x14ac:dyDescent="0.3">
      <c r="A108" s="20">
        <f t="shared" si="1"/>
        <v>94</v>
      </c>
      <c r="B108" s="29">
        <v>16</v>
      </c>
      <c r="C108" s="29" t="s">
        <v>322</v>
      </c>
      <c r="D108" s="29"/>
      <c r="E108" s="29"/>
      <c r="F108" s="58" t="s">
        <v>310</v>
      </c>
      <c r="G108" s="58"/>
      <c r="H108" s="29" t="s">
        <v>311</v>
      </c>
      <c r="I108" s="29"/>
      <c r="J108" s="29"/>
      <c r="K108" s="29"/>
      <c r="L108" s="29">
        <v>15000</v>
      </c>
      <c r="M108" s="29"/>
      <c r="N108" s="47"/>
      <c r="O108" s="29"/>
      <c r="P108" s="47"/>
      <c r="Q108" s="29"/>
      <c r="R108" s="60"/>
      <c r="S108" s="29"/>
      <c r="T108" s="29"/>
      <c r="U108" s="61"/>
      <c r="V108" s="62"/>
      <c r="W108" s="49" t="s">
        <v>321</v>
      </c>
    </row>
    <row r="109" spans="1:23" ht="11.25" customHeight="1" x14ac:dyDescent="0.3">
      <c r="A109" s="20">
        <f t="shared" si="1"/>
        <v>95</v>
      </c>
      <c r="B109" s="29">
        <v>16</v>
      </c>
      <c r="C109" s="29" t="s">
        <v>323</v>
      </c>
      <c r="D109" s="29">
        <v>7</v>
      </c>
      <c r="E109" s="29"/>
      <c r="F109" s="58"/>
      <c r="G109" s="58" t="s">
        <v>318</v>
      </c>
      <c r="H109" s="29" t="s">
        <v>311</v>
      </c>
      <c r="I109" s="29">
        <v>152000</v>
      </c>
      <c r="J109" s="29"/>
      <c r="K109" s="29">
        <v>100000</v>
      </c>
      <c r="L109" s="29"/>
      <c r="M109" s="29"/>
      <c r="N109" s="47"/>
      <c r="O109" s="29"/>
      <c r="P109" s="29"/>
      <c r="Q109" s="29"/>
      <c r="R109" s="60"/>
      <c r="S109" s="29"/>
      <c r="T109" s="29"/>
      <c r="U109" s="61"/>
      <c r="V109" s="62"/>
      <c r="W109" s="49" t="s">
        <v>324</v>
      </c>
    </row>
    <row r="110" spans="1:23" ht="11.25" customHeight="1" x14ac:dyDescent="0.3">
      <c r="A110" s="20">
        <f t="shared" si="1"/>
        <v>96</v>
      </c>
      <c r="B110" s="29">
        <v>17</v>
      </c>
      <c r="C110" s="29" t="s">
        <v>325</v>
      </c>
      <c r="D110" s="29"/>
      <c r="E110" s="29"/>
      <c r="F110" s="58" t="s">
        <v>310</v>
      </c>
      <c r="G110" s="58"/>
      <c r="H110" s="29" t="s">
        <v>311</v>
      </c>
      <c r="I110" s="29"/>
      <c r="J110" s="29"/>
      <c r="K110" s="29"/>
      <c r="L110" s="29">
        <v>15000</v>
      </c>
      <c r="M110" s="29"/>
      <c r="N110" s="47"/>
      <c r="O110" s="29"/>
      <c r="P110" s="47"/>
      <c r="Q110" s="29"/>
      <c r="R110" s="60"/>
      <c r="S110" s="29"/>
      <c r="T110" s="29"/>
      <c r="U110" s="61"/>
      <c r="V110" s="62"/>
      <c r="W110" s="49" t="s">
        <v>319</v>
      </c>
    </row>
    <row r="111" spans="1:23" ht="11.25" customHeight="1" x14ac:dyDescent="0.3">
      <c r="A111" s="20">
        <f t="shared" si="1"/>
        <v>97</v>
      </c>
      <c r="B111" s="29">
        <v>17</v>
      </c>
      <c r="C111" s="29" t="s">
        <v>326</v>
      </c>
      <c r="D111" s="29"/>
      <c r="E111" s="29"/>
      <c r="F111" s="58" t="s">
        <v>327</v>
      </c>
      <c r="G111" s="58"/>
      <c r="H111" s="29" t="s">
        <v>328</v>
      </c>
      <c r="I111" s="29"/>
      <c r="J111" s="29"/>
      <c r="K111" s="29"/>
      <c r="L111" s="29"/>
      <c r="M111" s="29"/>
      <c r="N111" s="29">
        <v>20000</v>
      </c>
      <c r="O111" s="29"/>
      <c r="P111" s="29"/>
      <c r="Q111" s="29"/>
      <c r="R111" s="60"/>
      <c r="S111" s="29"/>
      <c r="T111" s="29"/>
      <c r="U111" s="61"/>
      <c r="V111" s="62"/>
      <c r="W111" s="49"/>
    </row>
    <row r="112" spans="1:23" ht="11.25" customHeight="1" x14ac:dyDescent="0.3">
      <c r="A112" s="20">
        <f t="shared" si="1"/>
        <v>98</v>
      </c>
      <c r="B112" s="29">
        <v>18</v>
      </c>
      <c r="C112" s="29" t="s">
        <v>329</v>
      </c>
      <c r="D112" s="29"/>
      <c r="E112" s="29">
        <v>100</v>
      </c>
      <c r="F112" s="58"/>
      <c r="G112" s="58" t="s">
        <v>330</v>
      </c>
      <c r="H112" s="29" t="s">
        <v>331</v>
      </c>
      <c r="I112" s="29"/>
      <c r="J112" s="29"/>
      <c r="K112" s="29"/>
      <c r="L112" s="29"/>
      <c r="M112" s="29"/>
      <c r="N112" s="47"/>
      <c r="O112" s="29">
        <v>5500000</v>
      </c>
      <c r="P112" s="29"/>
      <c r="Q112" s="29"/>
      <c r="R112" s="60"/>
      <c r="S112" s="29"/>
      <c r="T112" s="29"/>
      <c r="U112" s="61"/>
      <c r="V112" s="62"/>
      <c r="W112" s="49" t="s">
        <v>332</v>
      </c>
    </row>
    <row r="113" spans="1:23" ht="11.25" customHeight="1" x14ac:dyDescent="0.3">
      <c r="A113" s="20">
        <f t="shared" si="1"/>
        <v>99</v>
      </c>
      <c r="B113" s="29">
        <v>18</v>
      </c>
      <c r="C113" s="29" t="s">
        <v>333</v>
      </c>
      <c r="D113" s="29"/>
      <c r="E113" s="29"/>
      <c r="F113" s="58" t="s">
        <v>334</v>
      </c>
      <c r="G113" s="58"/>
      <c r="H113" s="29" t="s">
        <v>335</v>
      </c>
      <c r="I113" s="29"/>
      <c r="J113" s="29"/>
      <c r="K113" s="29"/>
      <c r="L113" s="29">
        <v>90000</v>
      </c>
      <c r="M113" s="29"/>
      <c r="N113" s="47"/>
      <c r="O113" s="29"/>
      <c r="P113" s="29"/>
      <c r="Q113" s="29"/>
      <c r="R113" s="60"/>
      <c r="S113" s="29"/>
      <c r="T113" s="29"/>
      <c r="U113" s="61"/>
      <c r="V113" s="62"/>
      <c r="W113" s="49" t="s">
        <v>336</v>
      </c>
    </row>
    <row r="114" spans="1:23" ht="11.25" customHeight="1" x14ac:dyDescent="0.3">
      <c r="A114" s="20">
        <f t="shared" si="1"/>
        <v>100</v>
      </c>
      <c r="B114" s="29">
        <v>18</v>
      </c>
      <c r="C114" s="29" t="s">
        <v>337</v>
      </c>
      <c r="D114" s="29"/>
      <c r="E114" s="29"/>
      <c r="F114" s="58" t="s">
        <v>338</v>
      </c>
      <c r="G114" s="58"/>
      <c r="H114" s="29" t="s">
        <v>335</v>
      </c>
      <c r="I114" s="29"/>
      <c r="J114" s="29"/>
      <c r="K114" s="29"/>
      <c r="L114" s="29">
        <v>75000</v>
      </c>
      <c r="M114" s="29"/>
      <c r="N114" s="47"/>
      <c r="O114" s="29"/>
      <c r="P114" s="29"/>
      <c r="Q114" s="29"/>
      <c r="R114" s="60"/>
      <c r="S114" s="29"/>
      <c r="T114" s="29"/>
      <c r="U114" s="61"/>
      <c r="V114" s="62"/>
      <c r="W114" s="49" t="s">
        <v>339</v>
      </c>
    </row>
    <row r="115" spans="1:23" ht="11.25" customHeight="1" x14ac:dyDescent="0.3">
      <c r="A115" s="20">
        <f t="shared" si="1"/>
        <v>101</v>
      </c>
      <c r="B115" s="29">
        <v>18</v>
      </c>
      <c r="C115" s="29" t="s">
        <v>340</v>
      </c>
      <c r="D115" s="29"/>
      <c r="E115" s="29">
        <v>12</v>
      </c>
      <c r="F115" s="58"/>
      <c r="G115" s="58" t="s">
        <v>341</v>
      </c>
      <c r="H115" s="29" t="s">
        <v>342</v>
      </c>
      <c r="I115" s="29"/>
      <c r="J115" s="29"/>
      <c r="K115" s="29"/>
      <c r="L115" s="29"/>
      <c r="M115" s="29"/>
      <c r="N115" s="47"/>
      <c r="O115" s="29"/>
      <c r="P115" s="29"/>
      <c r="Q115" s="29">
        <v>770000</v>
      </c>
      <c r="R115" s="60"/>
      <c r="S115" s="29"/>
      <c r="T115" s="29"/>
      <c r="U115" s="61"/>
      <c r="V115" s="62"/>
      <c r="W115" s="49"/>
    </row>
    <row r="116" spans="1:23" ht="11.25" customHeight="1" x14ac:dyDescent="0.3">
      <c r="A116" s="20">
        <f t="shared" si="1"/>
        <v>102</v>
      </c>
      <c r="B116" s="29">
        <v>18</v>
      </c>
      <c r="C116" s="29" t="s">
        <v>340</v>
      </c>
      <c r="D116" s="29">
        <v>7</v>
      </c>
      <c r="E116" s="29"/>
      <c r="F116" s="58" t="s">
        <v>343</v>
      </c>
      <c r="G116" s="58" t="s">
        <v>341</v>
      </c>
      <c r="H116" s="29" t="s">
        <v>335</v>
      </c>
      <c r="I116" s="29"/>
      <c r="J116" s="29"/>
      <c r="K116" s="29">
        <v>252000</v>
      </c>
      <c r="L116" s="29"/>
      <c r="M116" s="29"/>
      <c r="N116" s="29">
        <v>60000</v>
      </c>
      <c r="O116" s="29"/>
      <c r="P116" s="29"/>
      <c r="Q116" s="29"/>
      <c r="R116" s="60"/>
      <c r="S116" s="29"/>
      <c r="T116" s="29"/>
      <c r="U116" s="61"/>
      <c r="V116" s="62"/>
      <c r="W116" s="49"/>
    </row>
    <row r="117" spans="1:23" ht="11.25" customHeight="1" x14ac:dyDescent="0.3">
      <c r="A117" s="20">
        <f t="shared" si="1"/>
        <v>103</v>
      </c>
      <c r="B117" s="29">
        <v>18</v>
      </c>
      <c r="C117" s="29" t="s">
        <v>344</v>
      </c>
      <c r="D117" s="29">
        <v>6</v>
      </c>
      <c r="E117" s="29"/>
      <c r="F117" s="58"/>
      <c r="G117" s="58" t="s">
        <v>341</v>
      </c>
      <c r="H117" s="29" t="s">
        <v>335</v>
      </c>
      <c r="I117" s="29">
        <v>240000</v>
      </c>
      <c r="J117" s="29"/>
      <c r="K117" s="29"/>
      <c r="L117" s="29"/>
      <c r="M117" s="29"/>
      <c r="N117" s="47"/>
      <c r="O117" s="29"/>
      <c r="P117" s="29"/>
      <c r="Q117" s="29"/>
      <c r="R117" s="60"/>
      <c r="S117" s="29"/>
      <c r="T117" s="29"/>
      <c r="U117" s="61"/>
      <c r="V117" s="62"/>
      <c r="W117" s="49" t="s">
        <v>345</v>
      </c>
    </row>
    <row r="118" spans="1:23" ht="11.25" customHeight="1" x14ac:dyDescent="0.3">
      <c r="A118" s="20">
        <f t="shared" si="1"/>
        <v>104</v>
      </c>
      <c r="B118" s="29">
        <v>18</v>
      </c>
      <c r="C118" s="29" t="s">
        <v>346</v>
      </c>
      <c r="D118" s="29">
        <v>6</v>
      </c>
      <c r="E118" s="29"/>
      <c r="F118" s="58"/>
      <c r="G118" s="58" t="s">
        <v>341</v>
      </c>
      <c r="H118" s="29" t="s">
        <v>335</v>
      </c>
      <c r="I118" s="29">
        <v>240000</v>
      </c>
      <c r="J118" s="29"/>
      <c r="K118" s="29"/>
      <c r="L118" s="29"/>
      <c r="M118" s="29"/>
      <c r="N118" s="47"/>
      <c r="O118" s="29"/>
      <c r="P118" s="29"/>
      <c r="Q118" s="29"/>
      <c r="R118" s="60"/>
      <c r="S118" s="29"/>
      <c r="T118" s="29"/>
      <c r="U118" s="61"/>
      <c r="V118" s="62"/>
      <c r="W118" s="49" t="s">
        <v>332</v>
      </c>
    </row>
    <row r="119" spans="1:23" ht="11.25" customHeight="1" x14ac:dyDescent="0.3">
      <c r="A119" s="20">
        <f t="shared" si="1"/>
        <v>105</v>
      </c>
      <c r="B119" s="29">
        <v>18</v>
      </c>
      <c r="C119" s="29" t="s">
        <v>347</v>
      </c>
      <c r="D119" s="29">
        <v>6</v>
      </c>
      <c r="E119" s="29"/>
      <c r="F119" s="58"/>
      <c r="G119" s="58" t="s">
        <v>341</v>
      </c>
      <c r="H119" s="29" t="s">
        <v>335</v>
      </c>
      <c r="I119" s="29">
        <v>240000</v>
      </c>
      <c r="J119" s="29"/>
      <c r="K119" s="29"/>
      <c r="L119" s="29"/>
      <c r="M119" s="29"/>
      <c r="N119" s="47"/>
      <c r="O119" s="29"/>
      <c r="P119" s="29"/>
      <c r="Q119" s="29"/>
      <c r="R119" s="60"/>
      <c r="S119" s="29"/>
      <c r="T119" s="29"/>
      <c r="U119" s="61"/>
      <c r="V119" s="62"/>
      <c r="W119" s="49" t="s">
        <v>336</v>
      </c>
    </row>
    <row r="120" spans="1:23" ht="11.25" customHeight="1" x14ac:dyDescent="0.3">
      <c r="A120" s="20">
        <f>ROW()-14</f>
        <v>106</v>
      </c>
      <c r="B120" s="29">
        <v>18</v>
      </c>
      <c r="C120" s="29" t="s">
        <v>348</v>
      </c>
      <c r="D120" s="29">
        <v>4</v>
      </c>
      <c r="E120" s="29"/>
      <c r="F120" s="58"/>
      <c r="G120" s="58" t="s">
        <v>341</v>
      </c>
      <c r="H120" s="29" t="s">
        <v>335</v>
      </c>
      <c r="I120" s="29">
        <v>207900</v>
      </c>
      <c r="J120" s="29"/>
      <c r="K120" s="29"/>
      <c r="L120" s="29"/>
      <c r="M120" s="29"/>
      <c r="N120" s="47"/>
      <c r="O120" s="29"/>
      <c r="P120" s="47"/>
      <c r="Q120" s="29"/>
      <c r="R120" s="60"/>
      <c r="S120" s="29"/>
      <c r="T120" s="29"/>
      <c r="U120" s="61"/>
      <c r="V120" s="62"/>
      <c r="W120" s="49" t="s">
        <v>336</v>
      </c>
    </row>
    <row r="121" spans="1:23" ht="11.25" customHeight="1" x14ac:dyDescent="0.3">
      <c r="A121" s="20">
        <f t="shared" si="1"/>
        <v>107</v>
      </c>
      <c r="B121" s="29">
        <v>18</v>
      </c>
      <c r="C121" s="29" t="s">
        <v>349</v>
      </c>
      <c r="D121" s="29">
        <v>15</v>
      </c>
      <c r="E121" s="29"/>
      <c r="F121" s="58"/>
      <c r="G121" s="58" t="s">
        <v>330</v>
      </c>
      <c r="H121" s="29" t="s">
        <v>335</v>
      </c>
      <c r="I121" s="29">
        <v>500000</v>
      </c>
      <c r="J121" s="29"/>
      <c r="K121" s="29"/>
      <c r="L121" s="29"/>
      <c r="M121" s="29"/>
      <c r="N121" s="47"/>
      <c r="O121" s="29"/>
      <c r="P121" s="29"/>
      <c r="Q121" s="29"/>
      <c r="R121" s="60"/>
      <c r="S121" s="29"/>
      <c r="T121" s="29"/>
      <c r="U121" s="61"/>
      <c r="V121" s="62"/>
      <c r="W121" s="49" t="s">
        <v>336</v>
      </c>
    </row>
    <row r="122" spans="1:23" ht="11.25" customHeight="1" x14ac:dyDescent="0.3">
      <c r="A122" s="20">
        <f t="shared" si="1"/>
        <v>108</v>
      </c>
      <c r="B122" s="29">
        <v>18</v>
      </c>
      <c r="C122" s="29" t="s">
        <v>350</v>
      </c>
      <c r="D122" s="29"/>
      <c r="E122" s="29">
        <v>30</v>
      </c>
      <c r="F122" s="58"/>
      <c r="G122" s="58" t="s">
        <v>341</v>
      </c>
      <c r="H122" s="29" t="s">
        <v>351</v>
      </c>
      <c r="I122" s="29"/>
      <c r="J122" s="29"/>
      <c r="K122" s="29"/>
      <c r="L122" s="29"/>
      <c r="M122" s="29"/>
      <c r="N122" s="47"/>
      <c r="O122" s="29">
        <v>1800000</v>
      </c>
      <c r="P122" s="47"/>
      <c r="Q122" s="29"/>
      <c r="R122" s="60"/>
      <c r="S122" s="29"/>
      <c r="T122" s="29"/>
      <c r="U122" s="61"/>
      <c r="V122" s="62"/>
      <c r="W122" s="49" t="s">
        <v>352</v>
      </c>
    </row>
    <row r="123" spans="1:23" ht="11.25" customHeight="1" x14ac:dyDescent="0.3">
      <c r="A123" s="20">
        <f t="shared" si="1"/>
        <v>109</v>
      </c>
      <c r="B123" s="29">
        <v>18</v>
      </c>
      <c r="C123" s="29" t="s">
        <v>353</v>
      </c>
      <c r="D123" s="29">
        <v>4</v>
      </c>
      <c r="E123" s="29"/>
      <c r="F123" s="58"/>
      <c r="G123" s="58" t="s">
        <v>341</v>
      </c>
      <c r="H123" s="29" t="s">
        <v>335</v>
      </c>
      <c r="I123" s="29">
        <v>207900</v>
      </c>
      <c r="J123" s="29"/>
      <c r="K123" s="29"/>
      <c r="L123" s="29"/>
      <c r="M123" s="29"/>
      <c r="N123" s="29"/>
      <c r="O123" s="29"/>
      <c r="P123" s="29"/>
      <c r="Q123" s="29"/>
      <c r="R123" s="60"/>
      <c r="S123" s="29"/>
      <c r="T123" s="29"/>
      <c r="U123" s="61"/>
      <c r="V123" s="62"/>
      <c r="W123" s="49" t="s">
        <v>332</v>
      </c>
    </row>
    <row r="124" spans="1:23" ht="11.25" customHeight="1" x14ac:dyDescent="0.3">
      <c r="A124" s="20">
        <f t="shared" si="1"/>
        <v>110</v>
      </c>
      <c r="B124" s="29">
        <v>18</v>
      </c>
      <c r="C124" s="29" t="s">
        <v>354</v>
      </c>
      <c r="D124" s="29">
        <v>4</v>
      </c>
      <c r="E124" s="29"/>
      <c r="F124" s="58" t="s">
        <v>355</v>
      </c>
      <c r="G124" s="58" t="s">
        <v>341</v>
      </c>
      <c r="H124" s="29" t="s">
        <v>335</v>
      </c>
      <c r="I124" s="29">
        <v>207900</v>
      </c>
      <c r="J124" s="29"/>
      <c r="K124" s="29"/>
      <c r="L124" s="29">
        <v>88000</v>
      </c>
      <c r="M124" s="29"/>
      <c r="N124" s="47"/>
      <c r="O124" s="29"/>
      <c r="P124" s="29"/>
      <c r="Q124" s="29"/>
      <c r="R124" s="60"/>
      <c r="S124" s="29"/>
      <c r="T124" s="29"/>
      <c r="U124" s="61"/>
      <c r="V124" s="62"/>
      <c r="W124" s="49" t="s">
        <v>339</v>
      </c>
    </row>
    <row r="125" spans="1:23" ht="11.25" customHeight="1" x14ac:dyDescent="0.3">
      <c r="A125" s="20">
        <f t="shared" si="1"/>
        <v>111</v>
      </c>
      <c r="B125" s="29">
        <v>19</v>
      </c>
      <c r="C125" s="29" t="s">
        <v>356</v>
      </c>
      <c r="D125" s="29">
        <v>4</v>
      </c>
      <c r="E125" s="29"/>
      <c r="F125" s="58" t="s">
        <v>357</v>
      </c>
      <c r="G125" s="58" t="s">
        <v>358</v>
      </c>
      <c r="H125" s="29" t="s">
        <v>359</v>
      </c>
      <c r="I125" s="29">
        <v>207900</v>
      </c>
      <c r="J125" s="29"/>
      <c r="K125" s="29"/>
      <c r="L125" s="29">
        <v>11000</v>
      </c>
      <c r="M125" s="29"/>
      <c r="N125" s="47"/>
      <c r="O125" s="29"/>
      <c r="P125" s="29"/>
      <c r="Q125" s="29"/>
      <c r="R125" s="60"/>
      <c r="S125" s="29"/>
      <c r="T125" s="29"/>
      <c r="U125" s="61"/>
      <c r="V125" s="62"/>
      <c r="W125" s="49" t="s">
        <v>360</v>
      </c>
    </row>
    <row r="126" spans="1:23" ht="11.25" customHeight="1" x14ac:dyDescent="0.3">
      <c r="A126" s="20">
        <f t="shared" si="1"/>
        <v>112</v>
      </c>
      <c r="B126" s="29">
        <v>19</v>
      </c>
      <c r="C126" s="29" t="s">
        <v>361</v>
      </c>
      <c r="D126" s="29"/>
      <c r="E126" s="29"/>
      <c r="F126" s="58" t="s">
        <v>362</v>
      </c>
      <c r="G126" s="58"/>
      <c r="H126" s="29" t="s">
        <v>363</v>
      </c>
      <c r="I126" s="29"/>
      <c r="J126" s="29"/>
      <c r="K126" s="29"/>
      <c r="L126" s="29"/>
      <c r="M126" s="29"/>
      <c r="N126" s="47"/>
      <c r="O126" s="29">
        <v>-2680000</v>
      </c>
      <c r="P126" s="29"/>
      <c r="Q126" s="29"/>
      <c r="R126" s="60"/>
      <c r="S126" s="29"/>
      <c r="T126" s="29"/>
      <c r="U126" s="61"/>
      <c r="V126" s="62" t="s">
        <v>364</v>
      </c>
      <c r="W126" s="49"/>
    </row>
    <row r="127" spans="1:23" ht="11.25" customHeight="1" x14ac:dyDescent="0.3">
      <c r="A127" s="20">
        <f t="shared" si="1"/>
        <v>113</v>
      </c>
      <c r="B127" s="29">
        <v>19</v>
      </c>
      <c r="C127" s="29" t="s">
        <v>361</v>
      </c>
      <c r="D127" s="29"/>
      <c r="E127" s="29"/>
      <c r="F127" s="58" t="s">
        <v>362</v>
      </c>
      <c r="G127" s="58"/>
      <c r="H127" s="29" t="s">
        <v>363</v>
      </c>
      <c r="I127" s="29"/>
      <c r="J127" s="29"/>
      <c r="K127" s="29"/>
      <c r="L127" s="29"/>
      <c r="M127" s="29"/>
      <c r="N127" s="47"/>
      <c r="O127" s="29">
        <v>2680000</v>
      </c>
      <c r="P127" s="29"/>
      <c r="Q127" s="29"/>
      <c r="R127" s="60"/>
      <c r="S127" s="29"/>
      <c r="T127" s="29"/>
      <c r="U127" s="61"/>
      <c r="V127" s="62"/>
      <c r="W127" s="49" t="s">
        <v>365</v>
      </c>
    </row>
    <row r="128" spans="1:23" ht="11.25" customHeight="1" x14ac:dyDescent="0.3">
      <c r="A128" s="20">
        <f t="shared" si="1"/>
        <v>114</v>
      </c>
      <c r="B128" s="29">
        <v>19</v>
      </c>
      <c r="C128" s="29" t="s">
        <v>366</v>
      </c>
      <c r="D128" s="29"/>
      <c r="E128" s="29">
        <v>12</v>
      </c>
      <c r="F128" s="58"/>
      <c r="G128" s="58" t="s">
        <v>358</v>
      </c>
      <c r="H128" s="29" t="s">
        <v>367</v>
      </c>
      <c r="I128" s="29"/>
      <c r="J128" s="29"/>
      <c r="K128" s="29"/>
      <c r="L128" s="29"/>
      <c r="M128" s="29"/>
      <c r="N128" s="47"/>
      <c r="O128" s="29">
        <v>720000</v>
      </c>
      <c r="P128" s="29"/>
      <c r="Q128" s="29"/>
      <c r="R128" s="60"/>
      <c r="S128" s="29"/>
      <c r="T128" s="29"/>
      <c r="U128" s="61"/>
      <c r="V128" s="62"/>
      <c r="W128" s="49" t="s">
        <v>368</v>
      </c>
    </row>
    <row r="129" spans="1:23" ht="11.25" customHeight="1" x14ac:dyDescent="0.3">
      <c r="A129" s="20">
        <f t="shared" si="1"/>
        <v>115</v>
      </c>
      <c r="B129" s="29">
        <v>19</v>
      </c>
      <c r="C129" s="29" t="s">
        <v>369</v>
      </c>
      <c r="D129" s="29">
        <v>12</v>
      </c>
      <c r="E129" s="29"/>
      <c r="F129" s="58"/>
      <c r="G129" s="58" t="s">
        <v>358</v>
      </c>
      <c r="H129" s="29" t="s">
        <v>359</v>
      </c>
      <c r="I129" s="29">
        <v>429000</v>
      </c>
      <c r="J129" s="29"/>
      <c r="K129" s="29"/>
      <c r="L129" s="29"/>
      <c r="M129" s="29"/>
      <c r="N129" s="29"/>
      <c r="O129" s="29"/>
      <c r="P129" s="29"/>
      <c r="Q129" s="29"/>
      <c r="R129" s="60"/>
      <c r="S129" s="29"/>
      <c r="T129" s="29"/>
      <c r="U129" s="61"/>
      <c r="V129" s="62"/>
      <c r="W129" s="49" t="s">
        <v>360</v>
      </c>
    </row>
    <row r="130" spans="1:23" ht="11.25" customHeight="1" x14ac:dyDescent="0.3">
      <c r="A130" s="20">
        <f t="shared" si="1"/>
        <v>116</v>
      </c>
      <c r="B130" s="29">
        <v>19</v>
      </c>
      <c r="C130" s="29" t="s">
        <v>370</v>
      </c>
      <c r="D130" s="29">
        <v>7</v>
      </c>
      <c r="E130" s="29"/>
      <c r="F130" s="58"/>
      <c r="G130" s="58" t="s">
        <v>358</v>
      </c>
      <c r="H130" s="29" t="s">
        <v>359</v>
      </c>
      <c r="I130" s="29">
        <v>277200</v>
      </c>
      <c r="J130" s="29"/>
      <c r="K130" s="29"/>
      <c r="L130" s="29"/>
      <c r="M130" s="29"/>
      <c r="N130" s="47"/>
      <c r="O130" s="29"/>
      <c r="P130" s="29"/>
      <c r="Q130" s="29"/>
      <c r="R130" s="60"/>
      <c r="S130" s="29"/>
      <c r="T130" s="29"/>
      <c r="U130" s="61"/>
      <c r="V130" s="62"/>
      <c r="W130" s="49" t="s">
        <v>360</v>
      </c>
    </row>
    <row r="131" spans="1:23" ht="11.25" customHeight="1" x14ac:dyDescent="0.3">
      <c r="A131" s="20">
        <f t="shared" si="1"/>
        <v>117</v>
      </c>
      <c r="B131" s="29">
        <v>19</v>
      </c>
      <c r="C131" s="29" t="s">
        <v>371</v>
      </c>
      <c r="D131" s="29"/>
      <c r="E131" s="29"/>
      <c r="F131" s="58" t="s">
        <v>372</v>
      </c>
      <c r="G131" s="58"/>
      <c r="H131" s="29" t="s">
        <v>359</v>
      </c>
      <c r="I131" s="29"/>
      <c r="J131" s="29"/>
      <c r="K131" s="29"/>
      <c r="L131" s="29">
        <v>15000</v>
      </c>
      <c r="M131" s="29"/>
      <c r="N131" s="47"/>
      <c r="O131" s="29"/>
      <c r="P131" s="29"/>
      <c r="Q131" s="29"/>
      <c r="R131" s="60"/>
      <c r="S131" s="29"/>
      <c r="T131" s="29"/>
      <c r="U131" s="61"/>
      <c r="V131" s="62"/>
      <c r="W131" s="49" t="s">
        <v>373</v>
      </c>
    </row>
    <row r="132" spans="1:23" ht="11.25" customHeight="1" x14ac:dyDescent="0.3">
      <c r="A132" s="20">
        <f t="shared" si="1"/>
        <v>118</v>
      </c>
      <c r="B132" s="29">
        <v>19</v>
      </c>
      <c r="C132" s="29" t="s">
        <v>374</v>
      </c>
      <c r="D132" s="29"/>
      <c r="E132" s="29">
        <v>20</v>
      </c>
      <c r="F132" s="58"/>
      <c r="G132" s="58" t="s">
        <v>375</v>
      </c>
      <c r="H132" s="29" t="s">
        <v>376</v>
      </c>
      <c r="I132" s="29"/>
      <c r="J132" s="29"/>
      <c r="K132" s="29"/>
      <c r="L132" s="29"/>
      <c r="M132" s="29"/>
      <c r="N132" s="47"/>
      <c r="O132" s="29">
        <v>1200000</v>
      </c>
      <c r="P132" s="29"/>
      <c r="Q132" s="29"/>
      <c r="R132" s="60"/>
      <c r="S132" s="29"/>
      <c r="T132" s="29"/>
      <c r="U132" s="61"/>
      <c r="V132" s="62"/>
      <c r="W132" s="49" t="s">
        <v>360</v>
      </c>
    </row>
    <row r="133" spans="1:23" ht="11.25" customHeight="1" x14ac:dyDescent="0.3">
      <c r="A133" s="20">
        <v>117</v>
      </c>
      <c r="B133" s="29">
        <v>19</v>
      </c>
      <c r="C133" s="29" t="s">
        <v>377</v>
      </c>
      <c r="D133" s="29">
        <v>11</v>
      </c>
      <c r="E133" s="29"/>
      <c r="F133" s="58"/>
      <c r="G133" s="58" t="s">
        <v>375</v>
      </c>
      <c r="H133" s="29" t="s">
        <v>378</v>
      </c>
      <c r="I133" s="29"/>
      <c r="J133" s="29"/>
      <c r="K133" s="29"/>
      <c r="L133" s="29"/>
      <c r="M133" s="29"/>
      <c r="N133" s="47"/>
      <c r="O133" s="29"/>
      <c r="P133" s="47"/>
      <c r="Q133" s="29">
        <v>550000</v>
      </c>
      <c r="R133" s="60"/>
      <c r="S133" s="29"/>
      <c r="T133" s="29"/>
      <c r="U133" s="61"/>
      <c r="V133" s="62"/>
      <c r="W133" s="49" t="s">
        <v>379</v>
      </c>
    </row>
    <row r="134" spans="1:23" ht="11.25" customHeight="1" x14ac:dyDescent="0.3">
      <c r="A134" s="20">
        <f t="shared" si="1"/>
        <v>120</v>
      </c>
      <c r="B134" s="29"/>
      <c r="C134" s="29"/>
      <c r="D134" s="29"/>
      <c r="E134" s="29"/>
      <c r="F134" s="58"/>
      <c r="G134" s="58"/>
      <c r="H134" s="29"/>
      <c r="I134" s="29"/>
      <c r="J134" s="29"/>
      <c r="K134" s="29"/>
      <c r="L134" s="29"/>
      <c r="M134" s="29"/>
      <c r="N134" s="47"/>
      <c r="O134" s="29"/>
      <c r="P134" s="29"/>
      <c r="Q134" s="29"/>
      <c r="R134" s="60"/>
      <c r="S134" s="29"/>
      <c r="T134" s="29"/>
      <c r="U134" s="61"/>
      <c r="V134" s="62"/>
      <c r="W134" s="49"/>
    </row>
    <row r="135" spans="1:23" ht="11.25" customHeight="1" x14ac:dyDescent="0.3">
      <c r="A135" s="20">
        <f t="shared" si="1"/>
        <v>121</v>
      </c>
      <c r="B135" s="29"/>
      <c r="C135" s="29"/>
      <c r="D135" s="29"/>
      <c r="E135" s="29"/>
      <c r="F135" s="58"/>
      <c r="G135" s="58"/>
      <c r="H135" s="29"/>
      <c r="I135" s="29"/>
      <c r="J135" s="29"/>
      <c r="K135" s="29"/>
      <c r="L135" s="29"/>
      <c r="M135" s="29"/>
      <c r="N135" s="47"/>
      <c r="O135" s="29"/>
      <c r="P135" s="29"/>
      <c r="Q135" s="29"/>
      <c r="R135" s="60"/>
      <c r="S135" s="29"/>
      <c r="T135" s="29"/>
      <c r="U135" s="61"/>
      <c r="V135" s="62"/>
      <c r="W135" s="49"/>
    </row>
    <row r="136" spans="1:23" ht="11.25" customHeight="1" x14ac:dyDescent="0.3">
      <c r="A136" s="20">
        <f t="shared" si="1"/>
        <v>122</v>
      </c>
      <c r="B136" s="29"/>
      <c r="C136" s="29"/>
      <c r="D136" s="29"/>
      <c r="E136" s="29"/>
      <c r="F136" s="58"/>
      <c r="G136" s="58"/>
      <c r="H136" s="29"/>
      <c r="I136" s="29"/>
      <c r="J136" s="29"/>
      <c r="K136" s="29"/>
      <c r="L136" s="29"/>
      <c r="M136" s="29"/>
      <c r="N136" s="47"/>
      <c r="O136" s="29"/>
      <c r="P136" s="29"/>
      <c r="Q136" s="29"/>
      <c r="R136" s="60"/>
      <c r="S136" s="29"/>
      <c r="T136" s="29"/>
      <c r="U136" s="61"/>
      <c r="V136" s="62"/>
      <c r="W136" s="49"/>
    </row>
    <row r="137" spans="1:23" ht="11.25" customHeight="1" x14ac:dyDescent="0.3">
      <c r="A137" s="20">
        <f t="shared" si="1"/>
        <v>123</v>
      </c>
      <c r="B137" s="29"/>
      <c r="C137" s="29"/>
      <c r="D137" s="29"/>
      <c r="E137" s="29"/>
      <c r="F137" s="58"/>
      <c r="G137" s="58"/>
      <c r="H137" s="29"/>
      <c r="I137" s="29"/>
      <c r="J137" s="29"/>
      <c r="K137" s="29"/>
      <c r="L137" s="29"/>
      <c r="M137" s="29"/>
      <c r="N137" s="47"/>
      <c r="O137" s="29"/>
      <c r="P137" s="29"/>
      <c r="Q137" s="29"/>
      <c r="R137" s="60"/>
      <c r="S137" s="29"/>
      <c r="T137" s="29"/>
      <c r="U137" s="61"/>
      <c r="V137" s="62"/>
      <c r="W137" s="49"/>
    </row>
    <row r="138" spans="1:23" ht="11.25" customHeight="1" x14ac:dyDescent="0.3">
      <c r="A138" s="20">
        <f t="shared" si="1"/>
        <v>124</v>
      </c>
      <c r="B138" s="29"/>
      <c r="C138" s="29"/>
      <c r="D138" s="29"/>
      <c r="E138" s="29"/>
      <c r="F138" s="58"/>
      <c r="G138" s="58"/>
      <c r="H138" s="29"/>
      <c r="I138" s="29"/>
      <c r="J138" s="29"/>
      <c r="K138" s="29"/>
      <c r="L138" s="29"/>
      <c r="M138" s="29"/>
      <c r="N138" s="47"/>
      <c r="O138" s="29"/>
      <c r="P138" s="29"/>
      <c r="Q138" s="29"/>
      <c r="R138" s="60"/>
      <c r="S138" s="29"/>
      <c r="T138" s="29"/>
      <c r="U138" s="61"/>
      <c r="V138" s="62"/>
      <c r="W138" s="49"/>
    </row>
    <row r="139" spans="1:23" ht="11.25" customHeight="1" x14ac:dyDescent="0.3">
      <c r="A139" s="20">
        <f t="shared" si="1"/>
        <v>125</v>
      </c>
      <c r="B139" s="29"/>
      <c r="C139" s="29"/>
      <c r="D139" s="29"/>
      <c r="E139" s="29"/>
      <c r="F139" s="58"/>
      <c r="G139" s="58"/>
      <c r="H139" s="29"/>
      <c r="I139" s="29"/>
      <c r="J139" s="29"/>
      <c r="K139" s="29"/>
      <c r="L139" s="29"/>
      <c r="M139" s="29"/>
      <c r="N139" s="47"/>
      <c r="O139" s="29"/>
      <c r="P139" s="29"/>
      <c r="Q139" s="29"/>
      <c r="R139" s="60"/>
      <c r="S139" s="29"/>
      <c r="T139" s="29"/>
      <c r="U139" s="61"/>
      <c r="V139" s="62"/>
      <c r="W139" s="49"/>
    </row>
    <row r="140" spans="1:23" ht="11.25" customHeight="1" x14ac:dyDescent="0.3">
      <c r="A140" s="20">
        <f t="shared" si="1"/>
        <v>126</v>
      </c>
      <c r="B140" s="29"/>
      <c r="C140" s="29"/>
      <c r="D140" s="29"/>
      <c r="E140" s="29"/>
      <c r="F140" s="58"/>
      <c r="G140" s="58"/>
      <c r="H140" s="29"/>
      <c r="I140" s="29"/>
      <c r="J140" s="29"/>
      <c r="K140" s="29"/>
      <c r="L140" s="29"/>
      <c r="M140" s="29"/>
      <c r="N140" s="47"/>
      <c r="O140" s="29"/>
      <c r="P140" s="29"/>
      <c r="Q140" s="29"/>
      <c r="R140" s="60"/>
      <c r="S140" s="29"/>
      <c r="T140" s="29"/>
      <c r="U140" s="61"/>
      <c r="V140" s="62"/>
      <c r="W140" s="49"/>
    </row>
    <row r="141" spans="1:23" ht="11.25" customHeight="1" x14ac:dyDescent="0.3">
      <c r="A141" s="20">
        <f t="shared" si="1"/>
        <v>127</v>
      </c>
      <c r="B141" s="29"/>
      <c r="C141" s="29"/>
      <c r="D141" s="29"/>
      <c r="E141" s="29"/>
      <c r="F141" s="58"/>
      <c r="G141" s="58"/>
      <c r="H141" s="29"/>
      <c r="I141" s="29"/>
      <c r="J141" s="29"/>
      <c r="K141" s="29"/>
      <c r="L141" s="29"/>
      <c r="M141" s="29"/>
      <c r="N141" s="47"/>
      <c r="O141" s="29"/>
      <c r="P141" s="29"/>
      <c r="Q141" s="29"/>
      <c r="R141" s="60"/>
      <c r="S141" s="29"/>
      <c r="T141" s="29"/>
      <c r="U141" s="61"/>
      <c r="V141" s="62"/>
      <c r="W141" s="49"/>
    </row>
    <row r="142" spans="1:23" ht="11.25" customHeight="1" x14ac:dyDescent="0.3">
      <c r="A142" s="20">
        <f t="shared" si="1"/>
        <v>128</v>
      </c>
      <c r="B142" s="29"/>
      <c r="C142" s="29"/>
      <c r="D142" s="29"/>
      <c r="E142" s="29"/>
      <c r="F142" s="58"/>
      <c r="G142" s="58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60"/>
      <c r="S142" s="29"/>
      <c r="T142" s="29"/>
      <c r="U142" s="61"/>
      <c r="V142" s="62"/>
      <c r="W142" s="49"/>
    </row>
    <row r="143" spans="1:23" ht="11.25" customHeight="1" x14ac:dyDescent="0.3">
      <c r="A143" s="20">
        <f t="shared" si="1"/>
        <v>129</v>
      </c>
      <c r="B143" s="29"/>
      <c r="C143" s="29"/>
      <c r="D143" s="29"/>
      <c r="E143" s="29"/>
      <c r="F143" s="58"/>
      <c r="G143" s="58"/>
      <c r="H143" s="29"/>
      <c r="I143" s="29"/>
      <c r="J143" s="29"/>
      <c r="K143" s="29"/>
      <c r="L143" s="29"/>
      <c r="M143" s="29"/>
      <c r="N143" s="47"/>
      <c r="O143" s="29"/>
      <c r="P143" s="47"/>
      <c r="Q143" s="29"/>
      <c r="R143" s="60"/>
      <c r="S143" s="29"/>
      <c r="T143" s="29"/>
      <c r="U143" s="61"/>
      <c r="V143" s="62"/>
      <c r="W143" s="49"/>
    </row>
    <row r="144" spans="1:23" ht="11.25" customHeight="1" x14ac:dyDescent="0.3">
      <c r="A144" s="20">
        <f t="shared" si="1"/>
        <v>130</v>
      </c>
      <c r="B144" s="29"/>
      <c r="C144" s="29"/>
      <c r="D144" s="29"/>
      <c r="E144" s="29"/>
      <c r="F144" s="58"/>
      <c r="G144" s="58"/>
      <c r="H144" s="29"/>
      <c r="I144" s="29"/>
      <c r="J144" s="29"/>
      <c r="K144" s="29"/>
      <c r="L144" s="29"/>
      <c r="M144" s="29"/>
      <c r="N144" s="47"/>
      <c r="O144" s="29"/>
      <c r="P144" s="29"/>
      <c r="Q144" s="29"/>
      <c r="R144" s="60"/>
      <c r="S144" s="29"/>
      <c r="T144" s="29"/>
      <c r="U144" s="61"/>
      <c r="V144" s="62"/>
      <c r="W144" s="49"/>
    </row>
    <row r="145" spans="1:23" ht="11.25" customHeight="1" x14ac:dyDescent="0.3">
      <c r="A145" s="20">
        <v>129</v>
      </c>
      <c r="B145" s="29"/>
      <c r="C145" s="29"/>
      <c r="D145" s="29"/>
      <c r="E145" s="29"/>
      <c r="F145" s="58"/>
      <c r="G145" s="58"/>
      <c r="H145" s="29"/>
      <c r="I145" s="29"/>
      <c r="J145" s="29"/>
      <c r="K145" s="29"/>
      <c r="L145" s="29"/>
      <c r="M145" s="29"/>
      <c r="N145" s="47"/>
      <c r="O145" s="29"/>
      <c r="P145" s="29"/>
      <c r="Q145" s="29"/>
      <c r="R145" s="60"/>
      <c r="S145" s="29"/>
      <c r="T145" s="29"/>
      <c r="U145" s="61"/>
      <c r="V145" s="62"/>
      <c r="W145" s="49"/>
    </row>
    <row r="146" spans="1:23" ht="11.25" customHeight="1" x14ac:dyDescent="0.3">
      <c r="A146" s="20">
        <f t="shared" ref="A146:A209" si="2">ROW()-14</f>
        <v>132</v>
      </c>
      <c r="B146" s="29"/>
      <c r="C146" s="29"/>
      <c r="D146" s="29"/>
      <c r="E146" s="29"/>
      <c r="F146" s="58"/>
      <c r="G146" s="58"/>
      <c r="H146" s="29"/>
      <c r="I146" s="29"/>
      <c r="J146" s="29"/>
      <c r="K146" s="29"/>
      <c r="L146" s="29"/>
      <c r="M146" s="29"/>
      <c r="N146" s="47"/>
      <c r="O146" s="29"/>
      <c r="P146" s="29"/>
      <c r="Q146" s="29"/>
      <c r="R146" s="60"/>
      <c r="S146" s="29"/>
      <c r="T146" s="29"/>
      <c r="U146" s="61"/>
      <c r="V146" s="62"/>
      <c r="W146" s="49"/>
    </row>
    <row r="147" spans="1:23" ht="11.25" customHeight="1" x14ac:dyDescent="0.3">
      <c r="A147" s="20">
        <f t="shared" si="2"/>
        <v>133</v>
      </c>
      <c r="B147" s="29"/>
      <c r="C147" s="29"/>
      <c r="D147" s="29"/>
      <c r="E147" s="29"/>
      <c r="F147" s="58"/>
      <c r="G147" s="58"/>
      <c r="H147" s="29"/>
      <c r="I147" s="29"/>
      <c r="J147" s="29"/>
      <c r="K147" s="29"/>
      <c r="L147" s="29"/>
      <c r="M147" s="29"/>
      <c r="N147" s="47"/>
      <c r="O147" s="29"/>
      <c r="P147" s="29"/>
      <c r="Q147" s="29"/>
      <c r="R147" s="60"/>
      <c r="S147" s="29"/>
      <c r="T147" s="29"/>
      <c r="U147" s="61"/>
      <c r="V147" s="62"/>
      <c r="W147" s="49"/>
    </row>
    <row r="148" spans="1:23" ht="11.25" customHeight="1" x14ac:dyDescent="0.3">
      <c r="A148" s="20">
        <f t="shared" si="2"/>
        <v>134</v>
      </c>
      <c r="B148" s="29"/>
      <c r="C148" s="29"/>
      <c r="D148" s="29"/>
      <c r="E148" s="29"/>
      <c r="F148" s="58"/>
      <c r="G148" s="58"/>
      <c r="H148" s="29"/>
      <c r="I148" s="29"/>
      <c r="J148" s="29"/>
      <c r="K148" s="29"/>
      <c r="L148" s="29"/>
      <c r="M148" s="29"/>
      <c r="N148" s="47"/>
      <c r="O148" s="29"/>
      <c r="P148" s="29"/>
      <c r="Q148" s="29"/>
      <c r="R148" s="60"/>
      <c r="S148" s="29"/>
      <c r="T148" s="29"/>
      <c r="U148" s="61"/>
      <c r="V148" s="62"/>
      <c r="W148" s="49"/>
    </row>
    <row r="149" spans="1:23" ht="11.25" customHeight="1" x14ac:dyDescent="0.3">
      <c r="A149" s="20">
        <f t="shared" si="2"/>
        <v>135</v>
      </c>
      <c r="B149" s="29"/>
      <c r="C149" s="29"/>
      <c r="D149" s="29"/>
      <c r="E149" s="29"/>
      <c r="F149" s="58"/>
      <c r="G149" s="58"/>
      <c r="H149" s="29"/>
      <c r="I149" s="29"/>
      <c r="J149" s="29"/>
      <c r="K149" s="29"/>
      <c r="L149" s="29"/>
      <c r="M149" s="29"/>
      <c r="N149" s="47"/>
      <c r="O149" s="29"/>
      <c r="P149" s="29"/>
      <c r="Q149" s="29"/>
      <c r="R149" s="60"/>
      <c r="S149" s="29"/>
      <c r="T149" s="29"/>
      <c r="U149" s="61"/>
      <c r="V149" s="62"/>
      <c r="W149" s="49"/>
    </row>
    <row r="150" spans="1:23" ht="11.25" customHeight="1" x14ac:dyDescent="0.3">
      <c r="A150" s="20">
        <f t="shared" si="2"/>
        <v>136</v>
      </c>
      <c r="B150" s="29"/>
      <c r="C150" s="29"/>
      <c r="D150" s="29"/>
      <c r="E150" s="29"/>
      <c r="F150" s="58"/>
      <c r="G150" s="58"/>
      <c r="H150" s="29"/>
      <c r="I150" s="29"/>
      <c r="J150" s="29"/>
      <c r="K150" s="29"/>
      <c r="L150" s="29"/>
      <c r="M150" s="29"/>
      <c r="N150" s="47"/>
      <c r="O150" s="29"/>
      <c r="P150" s="29"/>
      <c r="Q150" s="29"/>
      <c r="R150" s="60"/>
      <c r="S150" s="29"/>
      <c r="T150" s="29"/>
      <c r="U150" s="61"/>
      <c r="V150" s="62"/>
      <c r="W150" s="49"/>
    </row>
    <row r="151" spans="1:23" ht="11.25" customHeight="1" x14ac:dyDescent="0.3">
      <c r="A151" s="20">
        <f t="shared" si="2"/>
        <v>137</v>
      </c>
      <c r="B151" s="29"/>
      <c r="C151" s="29"/>
      <c r="D151" s="29"/>
      <c r="E151" s="29"/>
      <c r="F151" s="58"/>
      <c r="G151" s="58"/>
      <c r="H151" s="29"/>
      <c r="I151" s="29"/>
      <c r="J151" s="29"/>
      <c r="K151" s="29"/>
      <c r="L151" s="29"/>
      <c r="M151" s="29"/>
      <c r="N151" s="47"/>
      <c r="O151" s="29"/>
      <c r="P151" s="29"/>
      <c r="Q151" s="29"/>
      <c r="R151" s="60"/>
      <c r="S151" s="29"/>
      <c r="T151" s="29"/>
      <c r="U151" s="61"/>
      <c r="V151" s="62"/>
      <c r="W151" s="49"/>
    </row>
    <row r="152" spans="1:23" ht="11.25" customHeight="1" x14ac:dyDescent="0.3">
      <c r="A152" s="20">
        <f t="shared" si="2"/>
        <v>138</v>
      </c>
      <c r="B152" s="29"/>
      <c r="C152" s="29"/>
      <c r="D152" s="29"/>
      <c r="E152" s="29"/>
      <c r="F152" s="58"/>
      <c r="G152" s="58"/>
      <c r="H152" s="29"/>
      <c r="I152" s="29"/>
      <c r="J152" s="29"/>
      <c r="K152" s="29"/>
      <c r="L152" s="29"/>
      <c r="M152" s="29"/>
      <c r="N152" s="47"/>
      <c r="O152" s="29"/>
      <c r="P152" s="29"/>
      <c r="Q152" s="29"/>
      <c r="R152" s="60"/>
      <c r="S152" s="29"/>
      <c r="T152" s="29"/>
      <c r="U152" s="61"/>
      <c r="V152" s="62"/>
      <c r="W152" s="49"/>
    </row>
    <row r="153" spans="1:23" ht="11.25" customHeight="1" x14ac:dyDescent="0.3">
      <c r="A153" s="20">
        <f t="shared" si="2"/>
        <v>139</v>
      </c>
      <c r="B153" s="29"/>
      <c r="C153" s="29"/>
      <c r="D153" s="29"/>
      <c r="E153" s="29"/>
      <c r="F153" s="58"/>
      <c r="G153" s="58"/>
      <c r="H153" s="29"/>
      <c r="I153" s="29"/>
      <c r="J153" s="29"/>
      <c r="K153" s="29"/>
      <c r="L153" s="29"/>
      <c r="M153" s="29"/>
      <c r="N153" s="47"/>
      <c r="O153" s="29"/>
      <c r="P153" s="29"/>
      <c r="Q153" s="29"/>
      <c r="R153" s="60"/>
      <c r="S153" s="29"/>
      <c r="T153" s="29"/>
      <c r="U153" s="61"/>
      <c r="V153" s="62"/>
      <c r="W153" s="49"/>
    </row>
    <row r="154" spans="1:23" ht="11.25" customHeight="1" x14ac:dyDescent="0.3">
      <c r="A154" s="20">
        <f t="shared" si="2"/>
        <v>140</v>
      </c>
      <c r="B154" s="29"/>
      <c r="C154" s="29"/>
      <c r="D154" s="29"/>
      <c r="E154" s="29"/>
      <c r="F154" s="58"/>
      <c r="G154" s="58"/>
      <c r="H154" s="29"/>
      <c r="I154" s="29"/>
      <c r="J154" s="29"/>
      <c r="K154" s="29"/>
      <c r="L154" s="29"/>
      <c r="M154" s="29"/>
      <c r="N154" s="47"/>
      <c r="O154" s="29"/>
      <c r="P154" s="29"/>
      <c r="Q154" s="29"/>
      <c r="R154" s="60"/>
      <c r="S154" s="29"/>
      <c r="T154" s="29"/>
      <c r="U154" s="61"/>
      <c r="V154" s="62"/>
      <c r="W154" s="49"/>
    </row>
    <row r="155" spans="1:23" ht="11.25" customHeight="1" x14ac:dyDescent="0.3">
      <c r="A155" s="20">
        <f t="shared" si="2"/>
        <v>141</v>
      </c>
      <c r="B155" s="29"/>
      <c r="C155" s="29"/>
      <c r="D155" s="29"/>
      <c r="E155" s="29"/>
      <c r="F155" s="58"/>
      <c r="G155" s="58"/>
      <c r="H155" s="29"/>
      <c r="I155" s="29"/>
      <c r="J155" s="29"/>
      <c r="K155" s="29"/>
      <c r="L155" s="29"/>
      <c r="M155" s="29"/>
      <c r="N155" s="47"/>
      <c r="O155" s="29"/>
      <c r="P155" s="29"/>
      <c r="Q155" s="29"/>
      <c r="R155" s="60"/>
      <c r="S155" s="29"/>
      <c r="T155" s="29"/>
      <c r="U155" s="61"/>
      <c r="V155" s="62"/>
      <c r="W155" s="49"/>
    </row>
    <row r="156" spans="1:23" ht="11.25" customHeight="1" x14ac:dyDescent="0.3">
      <c r="A156" s="20">
        <f t="shared" si="2"/>
        <v>142</v>
      </c>
      <c r="B156" s="29"/>
      <c r="C156" s="29"/>
      <c r="D156" s="29"/>
      <c r="E156" s="29"/>
      <c r="F156" s="58"/>
      <c r="G156" s="58"/>
      <c r="H156" s="29"/>
      <c r="I156" s="29"/>
      <c r="J156" s="29"/>
      <c r="K156" s="29"/>
      <c r="L156" s="29"/>
      <c r="M156" s="29"/>
      <c r="N156" s="47"/>
      <c r="O156" s="29"/>
      <c r="P156" s="29"/>
      <c r="Q156" s="29"/>
      <c r="R156" s="60"/>
      <c r="S156" s="29"/>
      <c r="T156" s="29"/>
      <c r="U156" s="61"/>
      <c r="V156" s="62"/>
      <c r="W156" s="49"/>
    </row>
    <row r="157" spans="1:23" ht="11.25" customHeight="1" x14ac:dyDescent="0.3">
      <c r="A157" s="20">
        <f t="shared" si="2"/>
        <v>143</v>
      </c>
      <c r="B157" s="29"/>
      <c r="C157" s="29"/>
      <c r="D157" s="29"/>
      <c r="E157" s="29"/>
      <c r="F157" s="58"/>
      <c r="G157" s="58"/>
      <c r="H157" s="29"/>
      <c r="I157" s="29"/>
      <c r="J157" s="29"/>
      <c r="K157" s="29"/>
      <c r="L157" s="29"/>
      <c r="M157" s="29"/>
      <c r="N157" s="47"/>
      <c r="O157" s="29"/>
      <c r="P157" s="29"/>
      <c r="Q157" s="29"/>
      <c r="R157" s="60"/>
      <c r="S157" s="29"/>
      <c r="T157" s="29"/>
      <c r="U157" s="61"/>
      <c r="V157" s="62"/>
      <c r="W157" s="49"/>
    </row>
    <row r="158" spans="1:23" ht="11.25" customHeight="1" x14ac:dyDescent="0.3">
      <c r="A158" s="20">
        <f t="shared" si="2"/>
        <v>144</v>
      </c>
      <c r="B158" s="29"/>
      <c r="C158" s="29"/>
      <c r="D158" s="29"/>
      <c r="E158" s="29"/>
      <c r="F158" s="58"/>
      <c r="G158" s="58"/>
      <c r="H158" s="29"/>
      <c r="I158" s="29"/>
      <c r="J158" s="29"/>
      <c r="K158" s="29"/>
      <c r="L158" s="29"/>
      <c r="M158" s="29"/>
      <c r="N158" s="47"/>
      <c r="O158" s="29"/>
      <c r="P158" s="29"/>
      <c r="Q158" s="29"/>
      <c r="R158" s="60"/>
      <c r="S158" s="29"/>
      <c r="T158" s="29"/>
      <c r="U158" s="61"/>
      <c r="V158" s="62"/>
      <c r="W158" s="49"/>
    </row>
    <row r="159" spans="1:23" ht="11.25" customHeight="1" x14ac:dyDescent="0.3">
      <c r="A159" s="20">
        <f t="shared" si="2"/>
        <v>145</v>
      </c>
      <c r="B159" s="29"/>
      <c r="C159" s="29"/>
      <c r="D159" s="29"/>
      <c r="E159" s="29"/>
      <c r="F159" s="58"/>
      <c r="G159" s="58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60"/>
      <c r="S159" s="29"/>
      <c r="T159" s="29"/>
      <c r="U159" s="61"/>
      <c r="V159" s="62"/>
      <c r="W159" s="49"/>
    </row>
    <row r="160" spans="1:23" ht="11.25" customHeight="1" x14ac:dyDescent="0.3">
      <c r="A160" s="20">
        <f t="shared" si="2"/>
        <v>146</v>
      </c>
      <c r="B160" s="29"/>
      <c r="C160" s="29"/>
      <c r="D160" s="29"/>
      <c r="E160" s="29"/>
      <c r="F160" s="58"/>
      <c r="G160" s="58"/>
      <c r="H160" s="29"/>
      <c r="I160" s="29"/>
      <c r="J160" s="29"/>
      <c r="K160" s="29"/>
      <c r="L160" s="29"/>
      <c r="M160" s="29"/>
      <c r="N160" s="47"/>
      <c r="O160" s="29"/>
      <c r="P160" s="47"/>
      <c r="Q160" s="29"/>
      <c r="R160" s="60"/>
      <c r="S160" s="29"/>
      <c r="T160" s="29"/>
      <c r="U160" s="61"/>
      <c r="V160" s="62"/>
      <c r="W160" s="49"/>
    </row>
    <row r="161" spans="1:23" ht="11.25" customHeight="1" x14ac:dyDescent="0.3">
      <c r="A161" s="20">
        <f t="shared" si="2"/>
        <v>147</v>
      </c>
      <c r="B161" s="29"/>
      <c r="C161" s="29"/>
      <c r="D161" s="29"/>
      <c r="E161" s="29"/>
      <c r="F161" s="58"/>
      <c r="G161" s="58"/>
      <c r="H161" s="29"/>
      <c r="I161" s="29"/>
      <c r="J161" s="29"/>
      <c r="K161" s="29"/>
      <c r="L161" s="29"/>
      <c r="M161" s="29"/>
      <c r="N161" s="47"/>
      <c r="O161" s="29"/>
      <c r="P161" s="29"/>
      <c r="Q161" s="29"/>
      <c r="R161" s="60"/>
      <c r="S161" s="29"/>
      <c r="T161" s="29"/>
      <c r="U161" s="61"/>
      <c r="V161" s="62"/>
      <c r="W161" s="49"/>
    </row>
    <row r="162" spans="1:23" ht="11.25" customHeight="1" x14ac:dyDescent="0.3">
      <c r="A162" s="20">
        <f t="shared" si="2"/>
        <v>148</v>
      </c>
      <c r="B162" s="29"/>
      <c r="C162" s="29"/>
      <c r="D162" s="29"/>
      <c r="E162" s="29"/>
      <c r="F162" s="58"/>
      <c r="G162" s="58"/>
      <c r="H162" s="29"/>
      <c r="I162" s="29"/>
      <c r="J162" s="29"/>
      <c r="K162" s="29"/>
      <c r="L162" s="29"/>
      <c r="M162" s="29"/>
      <c r="N162" s="47"/>
      <c r="O162" s="29"/>
      <c r="P162" s="29"/>
      <c r="Q162" s="29"/>
      <c r="R162" s="60"/>
      <c r="S162" s="29"/>
      <c r="T162" s="29"/>
      <c r="U162" s="61"/>
      <c r="V162" s="62"/>
      <c r="W162" s="49"/>
    </row>
    <row r="163" spans="1:23" ht="11.25" customHeight="1" x14ac:dyDescent="0.3">
      <c r="A163" s="20">
        <f t="shared" si="2"/>
        <v>149</v>
      </c>
      <c r="B163" s="29"/>
      <c r="C163" s="29"/>
      <c r="D163" s="29"/>
      <c r="E163" s="29"/>
      <c r="F163" s="58"/>
      <c r="G163" s="58"/>
      <c r="H163" s="29"/>
      <c r="I163" s="29"/>
      <c r="J163" s="29"/>
      <c r="K163" s="29"/>
      <c r="L163" s="29"/>
      <c r="M163" s="29"/>
      <c r="N163" s="47"/>
      <c r="O163" s="29"/>
      <c r="P163" s="47"/>
      <c r="Q163" s="29"/>
      <c r="R163" s="60"/>
      <c r="S163" s="29"/>
      <c r="T163" s="29"/>
      <c r="U163" s="61"/>
      <c r="V163" s="62"/>
      <c r="W163" s="49"/>
    </row>
    <row r="164" spans="1:23" ht="11.25" customHeight="1" x14ac:dyDescent="0.3">
      <c r="A164" s="20">
        <f t="shared" si="2"/>
        <v>150</v>
      </c>
      <c r="B164" s="29"/>
      <c r="C164" s="29"/>
      <c r="D164" s="29"/>
      <c r="E164" s="29"/>
      <c r="F164" s="58"/>
      <c r="G164" s="58"/>
      <c r="H164" s="29"/>
      <c r="I164" s="29"/>
      <c r="J164" s="29"/>
      <c r="K164" s="29"/>
      <c r="L164" s="29"/>
      <c r="M164" s="29"/>
      <c r="N164" s="47"/>
      <c r="O164" s="29"/>
      <c r="P164" s="29"/>
      <c r="Q164" s="29"/>
      <c r="R164" s="60"/>
      <c r="S164" s="29"/>
      <c r="T164" s="29"/>
      <c r="U164" s="61"/>
      <c r="V164" s="62"/>
      <c r="W164" s="49"/>
    </row>
    <row r="165" spans="1:23" ht="11.25" customHeight="1" x14ac:dyDescent="0.3">
      <c r="A165" s="20">
        <f t="shared" si="2"/>
        <v>151</v>
      </c>
      <c r="B165" s="29"/>
      <c r="C165" s="29"/>
      <c r="D165" s="29"/>
      <c r="E165" s="29"/>
      <c r="F165" s="58"/>
      <c r="G165" s="58"/>
      <c r="H165" s="29"/>
      <c r="I165" s="29"/>
      <c r="J165" s="29"/>
      <c r="K165" s="29"/>
      <c r="L165" s="29"/>
      <c r="M165" s="29"/>
      <c r="N165" s="47"/>
      <c r="O165" s="29"/>
      <c r="P165" s="29"/>
      <c r="Q165" s="29"/>
      <c r="R165" s="60"/>
      <c r="S165" s="29"/>
      <c r="T165" s="29"/>
      <c r="U165" s="61"/>
      <c r="V165" s="62"/>
      <c r="W165" s="49"/>
    </row>
    <row r="166" spans="1:23" ht="11.25" customHeight="1" x14ac:dyDescent="0.3">
      <c r="A166" s="20">
        <f t="shared" si="2"/>
        <v>152</v>
      </c>
      <c r="B166" s="29"/>
      <c r="C166" s="29"/>
      <c r="D166" s="29"/>
      <c r="E166" s="29"/>
      <c r="F166" s="58"/>
      <c r="G166" s="58"/>
      <c r="H166" s="29"/>
      <c r="I166" s="29"/>
      <c r="J166" s="29"/>
      <c r="K166" s="29"/>
      <c r="L166" s="29"/>
      <c r="M166" s="29"/>
      <c r="N166" s="47"/>
      <c r="O166" s="29"/>
      <c r="P166" s="29"/>
      <c r="Q166" s="29"/>
      <c r="R166" s="60"/>
      <c r="S166" s="29"/>
      <c r="T166" s="29"/>
      <c r="U166" s="61"/>
      <c r="V166" s="62"/>
      <c r="W166" s="49"/>
    </row>
    <row r="167" spans="1:23" ht="11.25" customHeight="1" x14ac:dyDescent="0.3">
      <c r="A167" s="20">
        <f t="shared" si="2"/>
        <v>153</v>
      </c>
      <c r="B167" s="29"/>
      <c r="C167" s="29"/>
      <c r="D167" s="29"/>
      <c r="E167" s="29"/>
      <c r="F167" s="58"/>
      <c r="G167" s="58"/>
      <c r="H167" s="29"/>
      <c r="I167" s="29"/>
      <c r="J167" s="29"/>
      <c r="K167" s="29"/>
      <c r="L167" s="29"/>
      <c r="M167" s="29"/>
      <c r="N167" s="47"/>
      <c r="O167" s="29"/>
      <c r="P167" s="29"/>
      <c r="Q167" s="29"/>
      <c r="R167" s="60"/>
      <c r="S167" s="29"/>
      <c r="T167" s="29"/>
      <c r="U167" s="61"/>
      <c r="V167" s="62"/>
      <c r="W167" s="49"/>
    </row>
    <row r="168" spans="1:23" ht="11.25" customHeight="1" x14ac:dyDescent="0.3">
      <c r="A168" s="20">
        <f t="shared" si="2"/>
        <v>154</v>
      </c>
      <c r="B168" s="29"/>
      <c r="C168" s="29"/>
      <c r="D168" s="29"/>
      <c r="E168" s="29"/>
      <c r="F168" s="58"/>
      <c r="G168" s="58"/>
      <c r="H168" s="29"/>
      <c r="I168" s="29"/>
      <c r="J168" s="29"/>
      <c r="K168" s="29"/>
      <c r="L168" s="29"/>
      <c r="M168" s="29"/>
      <c r="N168" s="47"/>
      <c r="O168" s="29"/>
      <c r="P168" s="29"/>
      <c r="Q168" s="29"/>
      <c r="R168" s="60"/>
      <c r="S168" s="29"/>
      <c r="T168" s="29"/>
      <c r="U168" s="61"/>
      <c r="V168" s="62"/>
      <c r="W168" s="49"/>
    </row>
    <row r="169" spans="1:23" ht="11.25" customHeight="1" x14ac:dyDescent="0.3">
      <c r="A169" s="20">
        <f t="shared" si="2"/>
        <v>155</v>
      </c>
      <c r="B169" s="29"/>
      <c r="C169" s="29"/>
      <c r="D169" s="29"/>
      <c r="E169" s="29"/>
      <c r="F169" s="58"/>
      <c r="G169" s="58"/>
      <c r="H169" s="29"/>
      <c r="I169" s="29"/>
      <c r="J169" s="29"/>
      <c r="K169" s="29"/>
      <c r="L169" s="29"/>
      <c r="M169" s="29"/>
      <c r="N169" s="47"/>
      <c r="O169" s="29"/>
      <c r="P169" s="29"/>
      <c r="Q169" s="29"/>
      <c r="R169" s="60"/>
      <c r="S169" s="29"/>
      <c r="T169" s="29"/>
      <c r="U169" s="61"/>
      <c r="V169" s="62"/>
      <c r="W169" s="49"/>
    </row>
    <row r="170" spans="1:23" ht="11.25" customHeight="1" x14ac:dyDescent="0.3">
      <c r="A170" s="20">
        <f t="shared" si="2"/>
        <v>156</v>
      </c>
      <c r="B170" s="29"/>
      <c r="C170" s="29"/>
      <c r="D170" s="29"/>
      <c r="E170" s="29"/>
      <c r="F170" s="58"/>
      <c r="G170" s="58"/>
      <c r="H170" s="29"/>
      <c r="I170" s="29"/>
      <c r="J170" s="29"/>
      <c r="K170" s="29"/>
      <c r="L170" s="29"/>
      <c r="M170" s="29"/>
      <c r="N170" s="47"/>
      <c r="O170" s="29"/>
      <c r="P170" s="29"/>
      <c r="Q170" s="29"/>
      <c r="R170" s="60"/>
      <c r="S170" s="29"/>
      <c r="T170" s="29"/>
      <c r="U170" s="61"/>
      <c r="V170" s="62"/>
      <c r="W170" s="49"/>
    </row>
    <row r="171" spans="1:23" ht="11.25" customHeight="1" x14ac:dyDescent="0.3">
      <c r="A171" s="20">
        <f t="shared" si="2"/>
        <v>157</v>
      </c>
      <c r="B171" s="29"/>
      <c r="C171" s="29"/>
      <c r="D171" s="29"/>
      <c r="E171" s="29"/>
      <c r="F171" s="58"/>
      <c r="G171" s="58"/>
      <c r="H171" s="29"/>
      <c r="I171" s="29"/>
      <c r="J171" s="29"/>
      <c r="K171" s="29"/>
      <c r="L171" s="29"/>
      <c r="M171" s="29"/>
      <c r="N171" s="47"/>
      <c r="O171" s="29"/>
      <c r="P171" s="29"/>
      <c r="Q171" s="29"/>
      <c r="R171" s="60"/>
      <c r="S171" s="29"/>
      <c r="T171" s="29"/>
      <c r="U171" s="61"/>
      <c r="V171" s="62"/>
      <c r="W171" s="49"/>
    </row>
    <row r="172" spans="1:23" ht="11.25" customHeight="1" x14ac:dyDescent="0.3">
      <c r="A172" s="20">
        <f t="shared" si="2"/>
        <v>158</v>
      </c>
      <c r="B172" s="29"/>
      <c r="C172" s="29"/>
      <c r="D172" s="29"/>
      <c r="E172" s="29"/>
      <c r="F172" s="58"/>
      <c r="G172" s="58"/>
      <c r="H172" s="29"/>
      <c r="I172" s="29"/>
      <c r="J172" s="29"/>
      <c r="K172" s="29"/>
      <c r="L172" s="29"/>
      <c r="M172" s="29"/>
      <c r="N172" s="47"/>
      <c r="O172" s="29"/>
      <c r="P172" s="29"/>
      <c r="Q172" s="29"/>
      <c r="R172" s="60"/>
      <c r="S172" s="29"/>
      <c r="T172" s="29"/>
      <c r="U172" s="61"/>
      <c r="V172" s="62"/>
      <c r="W172" s="49"/>
    </row>
    <row r="173" spans="1:23" ht="11.25" customHeight="1" x14ac:dyDescent="0.3">
      <c r="A173" s="20">
        <f t="shared" si="2"/>
        <v>159</v>
      </c>
      <c r="B173" s="29"/>
      <c r="C173" s="29"/>
      <c r="D173" s="29"/>
      <c r="E173" s="29"/>
      <c r="F173" s="58"/>
      <c r="G173" s="58"/>
      <c r="H173" s="29"/>
      <c r="I173" s="29"/>
      <c r="J173" s="29"/>
      <c r="K173" s="29"/>
      <c r="L173" s="29"/>
      <c r="M173" s="29"/>
      <c r="N173" s="47"/>
      <c r="O173" s="29"/>
      <c r="P173" s="29"/>
      <c r="Q173" s="29"/>
      <c r="R173" s="60"/>
      <c r="S173" s="29"/>
      <c r="T173" s="29"/>
      <c r="U173" s="61"/>
      <c r="V173" s="62"/>
      <c r="W173" s="49"/>
    </row>
    <row r="174" spans="1:23" ht="11.25" customHeight="1" x14ac:dyDescent="0.3">
      <c r="A174" s="20">
        <f t="shared" si="2"/>
        <v>160</v>
      </c>
      <c r="B174" s="29"/>
      <c r="C174" s="29"/>
      <c r="D174" s="29"/>
      <c r="E174" s="29"/>
      <c r="F174" s="58"/>
      <c r="G174" s="58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60"/>
      <c r="S174" s="29"/>
      <c r="T174" s="29"/>
      <c r="U174" s="61"/>
      <c r="V174" s="62"/>
      <c r="W174" s="49"/>
    </row>
    <row r="175" spans="1:23" ht="11.25" customHeight="1" x14ac:dyDescent="0.3">
      <c r="A175" s="20">
        <f t="shared" si="2"/>
        <v>161</v>
      </c>
      <c r="B175" s="29"/>
      <c r="C175" s="29"/>
      <c r="D175" s="29"/>
      <c r="E175" s="29"/>
      <c r="F175" s="58"/>
      <c r="G175" s="58"/>
      <c r="H175" s="29"/>
      <c r="I175" s="29"/>
      <c r="J175" s="29"/>
      <c r="K175" s="29"/>
      <c r="L175" s="29"/>
      <c r="M175" s="29"/>
      <c r="N175" s="47"/>
      <c r="O175" s="29"/>
      <c r="P175" s="47"/>
      <c r="Q175" s="29"/>
      <c r="R175" s="60"/>
      <c r="S175" s="29"/>
      <c r="T175" s="29"/>
      <c r="U175" s="61"/>
      <c r="V175" s="62"/>
      <c r="W175" s="49"/>
    </row>
    <row r="176" spans="1:23" ht="11.25" customHeight="1" x14ac:dyDescent="0.3">
      <c r="A176" s="20">
        <f t="shared" si="2"/>
        <v>162</v>
      </c>
      <c r="B176" s="29"/>
      <c r="C176" s="29"/>
      <c r="D176" s="29"/>
      <c r="E176" s="29"/>
      <c r="F176" s="58"/>
      <c r="G176" s="58"/>
      <c r="H176" s="29"/>
      <c r="I176" s="29"/>
      <c r="J176" s="29"/>
      <c r="K176" s="29"/>
      <c r="L176" s="29"/>
      <c r="M176" s="29"/>
      <c r="N176" s="47"/>
      <c r="O176" s="29"/>
      <c r="P176" s="29"/>
      <c r="Q176" s="29"/>
      <c r="R176" s="60"/>
      <c r="S176" s="29"/>
      <c r="T176" s="29"/>
      <c r="U176" s="61"/>
      <c r="V176" s="62"/>
      <c r="W176" s="49"/>
    </row>
    <row r="177" spans="1:23" ht="11.25" customHeight="1" x14ac:dyDescent="0.3">
      <c r="A177" s="20">
        <f t="shared" si="2"/>
        <v>163</v>
      </c>
      <c r="B177" s="29"/>
      <c r="C177" s="29"/>
      <c r="D177" s="29"/>
      <c r="E177" s="29"/>
      <c r="F177" s="58"/>
      <c r="G177" s="58"/>
      <c r="H177" s="29"/>
      <c r="I177" s="29"/>
      <c r="J177" s="29"/>
      <c r="K177" s="29"/>
      <c r="L177" s="29"/>
      <c r="M177" s="29"/>
      <c r="N177" s="47"/>
      <c r="O177" s="29"/>
      <c r="P177" s="29"/>
      <c r="Q177" s="29"/>
      <c r="R177" s="60"/>
      <c r="S177" s="29"/>
      <c r="T177" s="29"/>
      <c r="U177" s="61"/>
      <c r="V177" s="62"/>
      <c r="W177" s="49"/>
    </row>
    <row r="178" spans="1:23" ht="11.25" customHeight="1" x14ac:dyDescent="0.3">
      <c r="A178" s="20">
        <f t="shared" si="2"/>
        <v>164</v>
      </c>
      <c r="B178" s="29"/>
      <c r="C178" s="29"/>
      <c r="D178" s="29"/>
      <c r="E178" s="29"/>
      <c r="F178" s="58"/>
      <c r="G178" s="58"/>
      <c r="H178" s="29"/>
      <c r="I178" s="29"/>
      <c r="J178" s="29"/>
      <c r="K178" s="29"/>
      <c r="L178" s="29"/>
      <c r="M178" s="29"/>
      <c r="N178" s="47"/>
      <c r="O178" s="29"/>
      <c r="P178" s="29"/>
      <c r="Q178" s="29"/>
      <c r="R178" s="60"/>
      <c r="S178" s="29"/>
      <c r="T178" s="29"/>
      <c r="U178" s="61"/>
      <c r="V178" s="62"/>
      <c r="W178" s="49"/>
    </row>
    <row r="179" spans="1:23" ht="11.25" customHeight="1" x14ac:dyDescent="0.3">
      <c r="A179" s="20">
        <f t="shared" si="2"/>
        <v>165</v>
      </c>
      <c r="B179" s="29"/>
      <c r="C179" s="29"/>
      <c r="D179" s="29"/>
      <c r="E179" s="29"/>
      <c r="F179" s="58"/>
      <c r="G179" s="58"/>
      <c r="H179" s="29"/>
      <c r="I179" s="29"/>
      <c r="J179" s="29"/>
      <c r="K179" s="29"/>
      <c r="L179" s="29"/>
      <c r="M179" s="29"/>
      <c r="N179" s="47"/>
      <c r="O179" s="29"/>
      <c r="P179" s="29"/>
      <c r="Q179" s="29"/>
      <c r="R179" s="60"/>
      <c r="S179" s="29"/>
      <c r="T179" s="29"/>
      <c r="U179" s="61"/>
      <c r="V179" s="62"/>
      <c r="W179" s="49"/>
    </row>
    <row r="180" spans="1:23" ht="11.25" customHeight="1" x14ac:dyDescent="0.3">
      <c r="A180" s="20">
        <f t="shared" si="2"/>
        <v>166</v>
      </c>
      <c r="B180" s="29"/>
      <c r="C180" s="29"/>
      <c r="D180" s="29"/>
      <c r="E180" s="29"/>
      <c r="F180" s="58"/>
      <c r="G180" s="58"/>
      <c r="H180" s="29"/>
      <c r="I180" s="29"/>
      <c r="J180" s="29"/>
      <c r="K180" s="29"/>
      <c r="L180" s="29"/>
      <c r="M180" s="29"/>
      <c r="N180" s="47"/>
      <c r="O180" s="29"/>
      <c r="P180" s="29"/>
      <c r="Q180" s="29"/>
      <c r="R180" s="60"/>
      <c r="S180" s="29"/>
      <c r="T180" s="29"/>
      <c r="U180" s="61"/>
      <c r="V180" s="62"/>
      <c r="W180" s="49"/>
    </row>
    <row r="181" spans="1:23" ht="11.25" customHeight="1" x14ac:dyDescent="0.3">
      <c r="A181" s="20">
        <f t="shared" si="2"/>
        <v>167</v>
      </c>
      <c r="B181" s="29"/>
      <c r="C181" s="29"/>
      <c r="D181" s="29"/>
      <c r="E181" s="29"/>
      <c r="F181" s="58"/>
      <c r="G181" s="58"/>
      <c r="H181" s="29"/>
      <c r="I181" s="29"/>
      <c r="J181" s="29"/>
      <c r="K181" s="29"/>
      <c r="L181" s="29"/>
      <c r="M181" s="29"/>
      <c r="N181" s="47"/>
      <c r="O181" s="29"/>
      <c r="P181" s="29"/>
      <c r="Q181" s="29"/>
      <c r="R181" s="60"/>
      <c r="S181" s="29"/>
      <c r="T181" s="29"/>
      <c r="U181" s="61"/>
      <c r="V181" s="62"/>
      <c r="W181" s="49"/>
    </row>
    <row r="182" spans="1:23" ht="11.25" customHeight="1" x14ac:dyDescent="0.3">
      <c r="A182" s="20">
        <f t="shared" si="2"/>
        <v>168</v>
      </c>
      <c r="B182" s="29"/>
      <c r="C182" s="29"/>
      <c r="D182" s="29"/>
      <c r="E182" s="29"/>
      <c r="F182" s="58"/>
      <c r="G182" s="58"/>
      <c r="H182" s="29"/>
      <c r="I182" s="29"/>
      <c r="J182" s="29"/>
      <c r="K182" s="29"/>
      <c r="L182" s="29"/>
      <c r="M182" s="29"/>
      <c r="N182" s="47"/>
      <c r="O182" s="29"/>
      <c r="P182" s="29"/>
      <c r="Q182" s="29"/>
      <c r="R182" s="60"/>
      <c r="S182" s="29"/>
      <c r="T182" s="29"/>
      <c r="U182" s="61"/>
      <c r="V182" s="62"/>
      <c r="W182" s="49"/>
    </row>
    <row r="183" spans="1:23" ht="11.25" customHeight="1" x14ac:dyDescent="0.3">
      <c r="A183" s="20">
        <f t="shared" si="2"/>
        <v>169</v>
      </c>
      <c r="B183" s="29"/>
      <c r="C183" s="29"/>
      <c r="D183" s="29"/>
      <c r="E183" s="29"/>
      <c r="F183" s="58"/>
      <c r="G183" s="58"/>
      <c r="H183" s="29"/>
      <c r="I183" s="29"/>
      <c r="J183" s="29"/>
      <c r="K183" s="29"/>
      <c r="L183" s="29"/>
      <c r="M183" s="29"/>
      <c r="N183" s="47"/>
      <c r="O183" s="29"/>
      <c r="P183" s="29"/>
      <c r="Q183" s="29"/>
      <c r="R183" s="60"/>
      <c r="S183" s="29"/>
      <c r="T183" s="29"/>
      <c r="U183" s="61"/>
      <c r="V183" s="62"/>
      <c r="W183" s="49"/>
    </row>
    <row r="184" spans="1:23" ht="11.25" customHeight="1" x14ac:dyDescent="0.3">
      <c r="A184" s="20">
        <f t="shared" si="2"/>
        <v>170</v>
      </c>
      <c r="B184" s="29"/>
      <c r="C184" s="29"/>
      <c r="D184" s="29"/>
      <c r="E184" s="29"/>
      <c r="F184" s="58"/>
      <c r="G184" s="58"/>
      <c r="H184" s="29"/>
      <c r="I184" s="29"/>
      <c r="J184" s="29"/>
      <c r="K184" s="29"/>
      <c r="L184" s="29"/>
      <c r="M184" s="29"/>
      <c r="N184" s="47"/>
      <c r="O184" s="29"/>
      <c r="P184" s="29"/>
      <c r="Q184" s="29"/>
      <c r="R184" s="60"/>
      <c r="S184" s="29"/>
      <c r="T184" s="29"/>
      <c r="U184" s="61"/>
      <c r="V184" s="62"/>
      <c r="W184" s="49"/>
    </row>
    <row r="185" spans="1:23" ht="11.25" customHeight="1" x14ac:dyDescent="0.3">
      <c r="A185" s="20">
        <f t="shared" si="2"/>
        <v>171</v>
      </c>
      <c r="B185" s="29"/>
      <c r="C185" s="29"/>
      <c r="D185" s="29"/>
      <c r="E185" s="29"/>
      <c r="F185" s="58"/>
      <c r="G185" s="58"/>
      <c r="H185" s="29"/>
      <c r="I185" s="29"/>
      <c r="J185" s="29"/>
      <c r="K185" s="29"/>
      <c r="L185" s="29"/>
      <c r="M185" s="29"/>
      <c r="N185" s="47"/>
      <c r="O185" s="29"/>
      <c r="P185" s="29"/>
      <c r="Q185" s="29"/>
      <c r="R185" s="60"/>
      <c r="S185" s="29"/>
      <c r="T185" s="29"/>
      <c r="U185" s="61"/>
      <c r="V185" s="62"/>
      <c r="W185" s="49"/>
    </row>
    <row r="186" spans="1:23" ht="11.25" customHeight="1" x14ac:dyDescent="0.3">
      <c r="A186" s="20">
        <f t="shared" si="2"/>
        <v>172</v>
      </c>
      <c r="B186" s="29"/>
      <c r="C186" s="29"/>
      <c r="D186" s="29"/>
      <c r="E186" s="29"/>
      <c r="F186" s="58"/>
      <c r="G186" s="58"/>
      <c r="H186" s="29"/>
      <c r="I186" s="29"/>
      <c r="J186" s="29"/>
      <c r="K186" s="29"/>
      <c r="L186" s="29"/>
      <c r="M186" s="29"/>
      <c r="N186" s="47"/>
      <c r="O186" s="29"/>
      <c r="P186" s="29"/>
      <c r="Q186" s="29"/>
      <c r="R186" s="60"/>
      <c r="S186" s="29"/>
      <c r="T186" s="29"/>
      <c r="U186" s="61"/>
      <c r="V186" s="62"/>
      <c r="W186" s="49"/>
    </row>
    <row r="187" spans="1:23" ht="11.25" customHeight="1" x14ac:dyDescent="0.3">
      <c r="A187" s="20">
        <f t="shared" si="2"/>
        <v>173</v>
      </c>
      <c r="B187" s="29"/>
      <c r="C187" s="29"/>
      <c r="D187" s="29"/>
      <c r="E187" s="29"/>
      <c r="F187" s="58"/>
      <c r="G187" s="58"/>
      <c r="H187" s="29"/>
      <c r="I187" s="29"/>
      <c r="J187" s="29"/>
      <c r="K187" s="29"/>
      <c r="L187" s="29"/>
      <c r="M187" s="29"/>
      <c r="N187" s="47"/>
      <c r="O187" s="29"/>
      <c r="P187" s="29"/>
      <c r="Q187" s="29"/>
      <c r="R187" s="60"/>
      <c r="S187" s="29"/>
      <c r="T187" s="29"/>
      <c r="U187" s="61"/>
      <c r="V187" s="62"/>
      <c r="W187" s="49"/>
    </row>
    <row r="188" spans="1:23" ht="11.25" customHeight="1" x14ac:dyDescent="0.3">
      <c r="A188" s="20">
        <f t="shared" si="2"/>
        <v>174</v>
      </c>
      <c r="B188" s="29"/>
      <c r="C188" s="29"/>
      <c r="D188" s="29"/>
      <c r="E188" s="29"/>
      <c r="F188" s="58"/>
      <c r="G188" s="58"/>
      <c r="H188" s="29"/>
      <c r="I188" s="29"/>
      <c r="J188" s="29"/>
      <c r="K188" s="29"/>
      <c r="L188" s="29"/>
      <c r="M188" s="29"/>
      <c r="N188" s="47"/>
      <c r="O188" s="29"/>
      <c r="P188" s="29"/>
      <c r="Q188" s="29"/>
      <c r="R188" s="60"/>
      <c r="S188" s="29"/>
      <c r="T188" s="29"/>
      <c r="U188" s="61"/>
      <c r="V188" s="62"/>
      <c r="W188" s="49"/>
    </row>
    <row r="189" spans="1:23" ht="11.25" customHeight="1" x14ac:dyDescent="0.3">
      <c r="A189" s="20">
        <f t="shared" si="2"/>
        <v>175</v>
      </c>
      <c r="B189" s="29"/>
      <c r="C189" s="29"/>
      <c r="D189" s="29"/>
      <c r="E189" s="29"/>
      <c r="F189" s="58"/>
      <c r="G189" s="58"/>
      <c r="H189" s="29"/>
      <c r="I189" s="29"/>
      <c r="J189" s="29"/>
      <c r="K189" s="29"/>
      <c r="L189" s="29"/>
      <c r="M189" s="29"/>
      <c r="N189" s="47"/>
      <c r="O189" s="29"/>
      <c r="P189" s="29"/>
      <c r="Q189" s="29"/>
      <c r="R189" s="60"/>
      <c r="S189" s="29"/>
      <c r="T189" s="29"/>
      <c r="U189" s="61"/>
      <c r="V189" s="62"/>
      <c r="W189" s="49"/>
    </row>
    <row r="190" spans="1:23" ht="11.25" customHeight="1" x14ac:dyDescent="0.3">
      <c r="A190" s="20">
        <f t="shared" si="2"/>
        <v>176</v>
      </c>
      <c r="B190" s="29"/>
      <c r="C190" s="29"/>
      <c r="D190" s="29"/>
      <c r="E190" s="29"/>
      <c r="F190" s="58"/>
      <c r="G190" s="58"/>
      <c r="H190" s="29"/>
      <c r="I190" s="29"/>
      <c r="J190" s="29"/>
      <c r="K190" s="29"/>
      <c r="L190" s="29"/>
      <c r="M190" s="29"/>
      <c r="N190" s="47"/>
      <c r="O190" s="29"/>
      <c r="P190" s="29"/>
      <c r="Q190" s="29"/>
      <c r="R190" s="60"/>
      <c r="S190" s="29"/>
      <c r="T190" s="29"/>
      <c r="U190" s="61"/>
      <c r="V190" s="62"/>
      <c r="W190" s="49"/>
    </row>
    <row r="191" spans="1:23" ht="11.25" customHeight="1" x14ac:dyDescent="0.3">
      <c r="A191" s="20">
        <f t="shared" si="2"/>
        <v>177</v>
      </c>
      <c r="B191" s="29"/>
      <c r="C191" s="29"/>
      <c r="D191" s="29"/>
      <c r="E191" s="29"/>
      <c r="F191" s="58"/>
      <c r="G191" s="58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60"/>
      <c r="S191" s="29"/>
      <c r="T191" s="29"/>
      <c r="U191" s="61"/>
      <c r="V191" s="62"/>
      <c r="W191" s="49"/>
    </row>
    <row r="192" spans="1:23" ht="11.25" customHeight="1" x14ac:dyDescent="0.3">
      <c r="A192" s="20">
        <f t="shared" si="2"/>
        <v>178</v>
      </c>
      <c r="B192" s="29"/>
      <c r="C192" s="29"/>
      <c r="D192" s="29"/>
      <c r="E192" s="29"/>
      <c r="F192" s="58"/>
      <c r="G192" s="58"/>
      <c r="H192" s="29"/>
      <c r="I192" s="29"/>
      <c r="J192" s="29"/>
      <c r="K192" s="29"/>
      <c r="L192" s="29"/>
      <c r="M192" s="29"/>
      <c r="N192" s="47"/>
      <c r="O192" s="29"/>
      <c r="P192" s="47"/>
      <c r="Q192" s="29"/>
      <c r="R192" s="60"/>
      <c r="S192" s="29"/>
      <c r="T192" s="29"/>
      <c r="U192" s="61"/>
      <c r="V192" s="62"/>
      <c r="W192" s="49"/>
    </row>
    <row r="193" spans="1:23" ht="11.25" customHeight="1" x14ac:dyDescent="0.3">
      <c r="A193" s="20">
        <f t="shared" si="2"/>
        <v>179</v>
      </c>
      <c r="B193" s="29"/>
      <c r="C193" s="29"/>
      <c r="D193" s="29"/>
      <c r="E193" s="29"/>
      <c r="F193" s="58"/>
      <c r="G193" s="58"/>
      <c r="H193" s="29"/>
      <c r="I193" s="29"/>
      <c r="J193" s="29"/>
      <c r="K193" s="29"/>
      <c r="L193" s="29"/>
      <c r="M193" s="29"/>
      <c r="N193" s="47"/>
      <c r="O193" s="29"/>
      <c r="P193" s="47"/>
      <c r="Q193" s="29"/>
      <c r="R193" s="60"/>
      <c r="S193" s="29"/>
      <c r="T193" s="29"/>
      <c r="U193" s="61"/>
      <c r="V193" s="62"/>
      <c r="W193" s="49"/>
    </row>
    <row r="194" spans="1:23" ht="11.25" customHeight="1" x14ac:dyDescent="0.3">
      <c r="A194" s="20">
        <f t="shared" si="2"/>
        <v>180</v>
      </c>
      <c r="B194" s="29"/>
      <c r="C194" s="29"/>
      <c r="D194" s="29"/>
      <c r="E194" s="29"/>
      <c r="F194" s="58"/>
      <c r="G194" s="58"/>
      <c r="H194" s="29"/>
      <c r="I194" s="29"/>
      <c r="J194" s="29"/>
      <c r="K194" s="29"/>
      <c r="L194" s="29"/>
      <c r="M194" s="29"/>
      <c r="N194" s="47"/>
      <c r="O194" s="29"/>
      <c r="P194" s="29"/>
      <c r="Q194" s="29"/>
      <c r="R194" s="60"/>
      <c r="S194" s="29"/>
      <c r="T194" s="29"/>
      <c r="U194" s="61"/>
      <c r="V194" s="62"/>
      <c r="W194" s="49"/>
    </row>
    <row r="195" spans="1:23" ht="11.25" customHeight="1" x14ac:dyDescent="0.3">
      <c r="A195" s="20">
        <f t="shared" si="2"/>
        <v>181</v>
      </c>
      <c r="B195" s="29"/>
      <c r="C195" s="29"/>
      <c r="D195" s="29"/>
      <c r="E195" s="29"/>
      <c r="F195" s="58"/>
      <c r="G195" s="58"/>
      <c r="H195" s="29"/>
      <c r="I195" s="29"/>
      <c r="J195" s="29"/>
      <c r="K195" s="29"/>
      <c r="L195" s="29"/>
      <c r="M195" s="29"/>
      <c r="N195" s="47"/>
      <c r="O195" s="29"/>
      <c r="P195" s="47"/>
      <c r="Q195" s="29"/>
      <c r="R195" s="60"/>
      <c r="S195" s="29"/>
      <c r="T195" s="29"/>
      <c r="U195" s="61"/>
      <c r="V195" s="62"/>
      <c r="W195" s="49"/>
    </row>
    <row r="196" spans="1:23" ht="11.25" customHeight="1" x14ac:dyDescent="0.3">
      <c r="A196" s="20">
        <f t="shared" si="2"/>
        <v>182</v>
      </c>
      <c r="B196" s="29"/>
      <c r="C196" s="29"/>
      <c r="D196" s="29"/>
      <c r="E196" s="29"/>
      <c r="F196" s="58"/>
      <c r="G196" s="58"/>
      <c r="H196" s="29"/>
      <c r="I196" s="29"/>
      <c r="J196" s="29"/>
      <c r="K196" s="29"/>
      <c r="L196" s="29"/>
      <c r="M196" s="29"/>
      <c r="N196" s="47"/>
      <c r="O196" s="29"/>
      <c r="P196" s="29"/>
      <c r="Q196" s="29"/>
      <c r="R196" s="60"/>
      <c r="S196" s="29"/>
      <c r="T196" s="29"/>
      <c r="U196" s="61"/>
      <c r="V196" s="62"/>
      <c r="W196" s="49"/>
    </row>
    <row r="197" spans="1:23" ht="11.25" customHeight="1" x14ac:dyDescent="0.3">
      <c r="A197" s="20">
        <f t="shared" si="2"/>
        <v>183</v>
      </c>
      <c r="B197" s="29"/>
      <c r="C197" s="29"/>
      <c r="D197" s="29"/>
      <c r="E197" s="29"/>
      <c r="F197" s="58"/>
      <c r="G197" s="58"/>
      <c r="H197" s="29"/>
      <c r="I197" s="29"/>
      <c r="J197" s="29"/>
      <c r="K197" s="29"/>
      <c r="L197" s="29"/>
      <c r="M197" s="29"/>
      <c r="N197" s="47"/>
      <c r="O197" s="29"/>
      <c r="P197" s="29"/>
      <c r="Q197" s="29"/>
      <c r="R197" s="60"/>
      <c r="S197" s="29"/>
      <c r="T197" s="29"/>
      <c r="U197" s="61"/>
      <c r="V197" s="62"/>
      <c r="W197" s="49"/>
    </row>
    <row r="198" spans="1:23" ht="11.25" customHeight="1" x14ac:dyDescent="0.3">
      <c r="A198" s="20">
        <f t="shared" si="2"/>
        <v>184</v>
      </c>
      <c r="B198" s="29"/>
      <c r="C198" s="29"/>
      <c r="D198" s="29"/>
      <c r="E198" s="29"/>
      <c r="F198" s="58"/>
      <c r="G198" s="58"/>
      <c r="H198" s="29"/>
      <c r="I198" s="29"/>
      <c r="J198" s="29"/>
      <c r="K198" s="29"/>
      <c r="L198" s="29"/>
      <c r="M198" s="29"/>
      <c r="N198" s="47"/>
      <c r="O198" s="29"/>
      <c r="P198" s="29"/>
      <c r="Q198" s="29"/>
      <c r="R198" s="60"/>
      <c r="S198" s="29"/>
      <c r="T198" s="29"/>
      <c r="U198" s="61"/>
      <c r="V198" s="62"/>
      <c r="W198" s="49"/>
    </row>
    <row r="199" spans="1:23" ht="11.25" customHeight="1" x14ac:dyDescent="0.3">
      <c r="A199" s="20">
        <f t="shared" si="2"/>
        <v>185</v>
      </c>
      <c r="B199" s="29"/>
      <c r="C199" s="29"/>
      <c r="D199" s="29"/>
      <c r="E199" s="29"/>
      <c r="F199" s="58"/>
      <c r="G199" s="58"/>
      <c r="H199" s="29"/>
      <c r="I199" s="29"/>
      <c r="J199" s="29"/>
      <c r="K199" s="29"/>
      <c r="L199" s="29"/>
      <c r="M199" s="29"/>
      <c r="N199" s="47"/>
      <c r="O199" s="29"/>
      <c r="P199" s="29"/>
      <c r="Q199" s="29"/>
      <c r="R199" s="60"/>
      <c r="S199" s="29"/>
      <c r="T199" s="29"/>
      <c r="U199" s="61"/>
      <c r="V199" s="62"/>
      <c r="W199" s="49"/>
    </row>
    <row r="200" spans="1:23" ht="11.25" customHeight="1" x14ac:dyDescent="0.3">
      <c r="A200" s="20">
        <f t="shared" si="2"/>
        <v>186</v>
      </c>
      <c r="B200" s="29"/>
      <c r="C200" s="29"/>
      <c r="D200" s="29"/>
      <c r="E200" s="29"/>
      <c r="F200" s="58"/>
      <c r="G200" s="58"/>
      <c r="H200" s="29"/>
      <c r="I200" s="29"/>
      <c r="J200" s="29"/>
      <c r="K200" s="29"/>
      <c r="L200" s="29"/>
      <c r="M200" s="29"/>
      <c r="N200" s="47"/>
      <c r="O200" s="29"/>
      <c r="P200" s="29"/>
      <c r="Q200" s="29"/>
      <c r="R200" s="60"/>
      <c r="S200" s="29"/>
      <c r="T200" s="29"/>
      <c r="U200" s="61"/>
      <c r="V200" s="62"/>
      <c r="W200" s="49"/>
    </row>
    <row r="201" spans="1:23" ht="11.25" customHeight="1" x14ac:dyDescent="0.3">
      <c r="A201" s="20">
        <f t="shared" si="2"/>
        <v>187</v>
      </c>
      <c r="B201" s="29"/>
      <c r="C201" s="29"/>
      <c r="D201" s="29"/>
      <c r="E201" s="29"/>
      <c r="F201" s="58"/>
      <c r="G201" s="58"/>
      <c r="H201" s="29"/>
      <c r="I201" s="29"/>
      <c r="J201" s="29"/>
      <c r="K201" s="29"/>
      <c r="L201" s="29"/>
      <c r="M201" s="29"/>
      <c r="N201" s="47"/>
      <c r="O201" s="29"/>
      <c r="P201" s="29"/>
      <c r="Q201" s="29"/>
      <c r="R201" s="60"/>
      <c r="S201" s="29"/>
      <c r="T201" s="29"/>
      <c r="U201" s="61"/>
      <c r="V201" s="62"/>
      <c r="W201" s="49"/>
    </row>
    <row r="202" spans="1:23" ht="11.25" customHeight="1" x14ac:dyDescent="0.3">
      <c r="A202" s="20">
        <f t="shared" si="2"/>
        <v>188</v>
      </c>
      <c r="B202" s="29"/>
      <c r="C202" s="29"/>
      <c r="D202" s="29"/>
      <c r="E202" s="29"/>
      <c r="F202" s="58"/>
      <c r="G202" s="58"/>
      <c r="H202" s="29"/>
      <c r="I202" s="29"/>
      <c r="J202" s="29"/>
      <c r="K202" s="29"/>
      <c r="L202" s="29"/>
      <c r="M202" s="29"/>
      <c r="N202" s="47"/>
      <c r="O202" s="29"/>
      <c r="P202" s="29"/>
      <c r="Q202" s="29"/>
      <c r="R202" s="60"/>
      <c r="S202" s="29"/>
      <c r="T202" s="29"/>
      <c r="U202" s="61"/>
      <c r="V202" s="62"/>
      <c r="W202" s="49"/>
    </row>
    <row r="203" spans="1:23" ht="11.25" customHeight="1" x14ac:dyDescent="0.3">
      <c r="A203" s="20">
        <f t="shared" si="2"/>
        <v>189</v>
      </c>
      <c r="B203" s="29"/>
      <c r="C203" s="29"/>
      <c r="D203" s="29"/>
      <c r="E203" s="29"/>
      <c r="F203" s="58"/>
      <c r="G203" s="58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60"/>
      <c r="S203" s="29"/>
      <c r="T203" s="29"/>
      <c r="U203" s="61"/>
      <c r="V203" s="62"/>
      <c r="W203" s="49"/>
    </row>
    <row r="204" spans="1:23" ht="11.25" customHeight="1" x14ac:dyDescent="0.3">
      <c r="A204" s="20">
        <f t="shared" si="2"/>
        <v>190</v>
      </c>
      <c r="B204" s="29"/>
      <c r="C204" s="29"/>
      <c r="D204" s="29"/>
      <c r="E204" s="29"/>
      <c r="F204" s="58"/>
      <c r="G204" s="58"/>
      <c r="H204" s="29"/>
      <c r="I204" s="29"/>
      <c r="J204" s="29"/>
      <c r="K204" s="29"/>
      <c r="L204" s="29"/>
      <c r="M204" s="29"/>
      <c r="N204" s="47"/>
      <c r="O204" s="29"/>
      <c r="P204" s="47"/>
      <c r="Q204" s="29"/>
      <c r="R204" s="60"/>
      <c r="S204" s="29"/>
      <c r="T204" s="29"/>
      <c r="U204" s="61"/>
      <c r="V204" s="62"/>
      <c r="W204" s="49"/>
    </row>
    <row r="205" spans="1:23" ht="11.25" customHeight="1" x14ac:dyDescent="0.3">
      <c r="A205" s="20">
        <f t="shared" si="2"/>
        <v>191</v>
      </c>
      <c r="B205" s="29"/>
      <c r="C205" s="29"/>
      <c r="D205" s="29"/>
      <c r="E205" s="29"/>
      <c r="F205" s="58"/>
      <c r="G205" s="58"/>
      <c r="H205" s="29"/>
      <c r="I205" s="29"/>
      <c r="J205" s="29"/>
      <c r="K205" s="29"/>
      <c r="L205" s="29"/>
      <c r="M205" s="29"/>
      <c r="N205" s="47"/>
      <c r="O205" s="29"/>
      <c r="P205" s="47"/>
      <c r="Q205" s="29"/>
      <c r="R205" s="60"/>
      <c r="S205" s="29"/>
      <c r="T205" s="29"/>
      <c r="U205" s="61"/>
      <c r="V205" s="62"/>
      <c r="W205" s="49"/>
    </row>
    <row r="206" spans="1:23" ht="11.25" customHeight="1" x14ac:dyDescent="0.3">
      <c r="A206" s="20">
        <f t="shared" si="2"/>
        <v>192</v>
      </c>
      <c r="B206" s="29"/>
      <c r="C206" s="29"/>
      <c r="D206" s="29"/>
      <c r="E206" s="29"/>
      <c r="F206" s="58"/>
      <c r="G206" s="58"/>
      <c r="H206" s="29"/>
      <c r="I206" s="29"/>
      <c r="J206" s="29"/>
      <c r="K206" s="29"/>
      <c r="L206" s="29"/>
      <c r="M206" s="29"/>
      <c r="N206" s="47"/>
      <c r="O206" s="29"/>
      <c r="P206" s="29"/>
      <c r="Q206" s="29"/>
      <c r="R206" s="60"/>
      <c r="S206" s="29"/>
      <c r="T206" s="29"/>
      <c r="U206" s="61"/>
      <c r="V206" s="62"/>
      <c r="W206" s="49"/>
    </row>
    <row r="207" spans="1:23" ht="11.25" customHeight="1" x14ac:dyDescent="0.3">
      <c r="A207" s="20">
        <f t="shared" si="2"/>
        <v>193</v>
      </c>
      <c r="B207" s="29"/>
      <c r="C207" s="29"/>
      <c r="D207" s="29"/>
      <c r="E207" s="29"/>
      <c r="F207" s="58"/>
      <c r="G207" s="58"/>
      <c r="H207" s="29"/>
      <c r="I207" s="29"/>
      <c r="J207" s="29"/>
      <c r="K207" s="29"/>
      <c r="L207" s="29"/>
      <c r="M207" s="29"/>
      <c r="N207" s="47"/>
      <c r="O207" s="29"/>
      <c r="P207" s="47"/>
      <c r="Q207" s="29"/>
      <c r="R207" s="60"/>
      <c r="S207" s="29"/>
      <c r="T207" s="29"/>
      <c r="U207" s="61"/>
      <c r="V207" s="62"/>
      <c r="W207" s="49"/>
    </row>
    <row r="208" spans="1:23" ht="11.25" customHeight="1" x14ac:dyDescent="0.3">
      <c r="A208" s="20">
        <f t="shared" si="2"/>
        <v>194</v>
      </c>
      <c r="B208" s="29"/>
      <c r="C208" s="29"/>
      <c r="D208" s="29"/>
      <c r="E208" s="29"/>
      <c r="F208" s="58"/>
      <c r="G208" s="58"/>
      <c r="H208" s="29"/>
      <c r="I208" s="29"/>
      <c r="J208" s="29"/>
      <c r="K208" s="29"/>
      <c r="L208" s="29"/>
      <c r="M208" s="29"/>
      <c r="N208" s="47"/>
      <c r="O208" s="29"/>
      <c r="P208" s="29"/>
      <c r="Q208" s="29"/>
      <c r="R208" s="60"/>
      <c r="S208" s="29"/>
      <c r="T208" s="29"/>
      <c r="U208" s="61"/>
      <c r="V208" s="62"/>
      <c r="W208" s="49"/>
    </row>
    <row r="209" spans="1:23" ht="11.25" customHeight="1" x14ac:dyDescent="0.3">
      <c r="A209" s="20">
        <f t="shared" si="2"/>
        <v>195</v>
      </c>
      <c r="B209" s="29"/>
      <c r="C209" s="29"/>
      <c r="D209" s="29"/>
      <c r="E209" s="29"/>
      <c r="F209" s="58"/>
      <c r="G209" s="58"/>
      <c r="H209" s="29"/>
      <c r="I209" s="29"/>
      <c r="J209" s="29"/>
      <c r="K209" s="29"/>
      <c r="L209" s="29"/>
      <c r="M209" s="29"/>
      <c r="N209" s="47"/>
      <c r="O209" s="29"/>
      <c r="P209" s="29"/>
      <c r="Q209" s="29"/>
      <c r="R209" s="60"/>
      <c r="S209" s="29"/>
      <c r="T209" s="29"/>
      <c r="U209" s="61"/>
      <c r="V209" s="62"/>
      <c r="W209" s="49"/>
    </row>
    <row r="210" spans="1:23" ht="11.25" customHeight="1" x14ac:dyDescent="0.3">
      <c r="A210" s="20">
        <f t="shared" ref="A210:A273" si="3">ROW()-14</f>
        <v>196</v>
      </c>
      <c r="B210" s="29"/>
      <c r="C210" s="29"/>
      <c r="D210" s="29"/>
      <c r="E210" s="29"/>
      <c r="F210" s="58"/>
      <c r="G210" s="58"/>
      <c r="H210" s="29"/>
      <c r="I210" s="29"/>
      <c r="J210" s="29"/>
      <c r="K210" s="29"/>
      <c r="L210" s="29"/>
      <c r="M210" s="29"/>
      <c r="N210" s="47"/>
      <c r="O210" s="29"/>
      <c r="P210" s="29"/>
      <c r="Q210" s="29"/>
      <c r="R210" s="60"/>
      <c r="S210" s="29"/>
      <c r="T210" s="29"/>
      <c r="U210" s="61"/>
      <c r="V210" s="62"/>
      <c r="W210" s="49"/>
    </row>
    <row r="211" spans="1:23" ht="11.25" customHeight="1" x14ac:dyDescent="0.3">
      <c r="A211" s="20">
        <f t="shared" si="3"/>
        <v>197</v>
      </c>
      <c r="B211" s="29"/>
      <c r="C211" s="29"/>
      <c r="D211" s="29"/>
      <c r="E211" s="29"/>
      <c r="F211" s="58"/>
      <c r="G211" s="58"/>
      <c r="H211" s="29"/>
      <c r="I211" s="29"/>
      <c r="J211" s="29"/>
      <c r="K211" s="29"/>
      <c r="L211" s="29"/>
      <c r="M211" s="29"/>
      <c r="N211" s="47"/>
      <c r="O211" s="29"/>
      <c r="P211" s="29"/>
      <c r="Q211" s="29"/>
      <c r="R211" s="60"/>
      <c r="S211" s="29"/>
      <c r="T211" s="29"/>
      <c r="U211" s="61"/>
      <c r="V211" s="62"/>
      <c r="W211" s="49"/>
    </row>
    <row r="212" spans="1:23" ht="11.25" customHeight="1" x14ac:dyDescent="0.3">
      <c r="A212" s="20">
        <f t="shared" si="3"/>
        <v>198</v>
      </c>
      <c r="B212" s="29"/>
      <c r="C212" s="29"/>
      <c r="D212" s="29"/>
      <c r="E212" s="29"/>
      <c r="F212" s="58"/>
      <c r="G212" s="58"/>
      <c r="H212" s="29"/>
      <c r="I212" s="29"/>
      <c r="J212" s="29"/>
      <c r="K212" s="29"/>
      <c r="L212" s="29"/>
      <c r="M212" s="29"/>
      <c r="N212" s="47"/>
      <c r="O212" s="29"/>
      <c r="P212" s="29"/>
      <c r="Q212" s="29"/>
      <c r="R212" s="60"/>
      <c r="S212" s="29"/>
      <c r="T212" s="29"/>
      <c r="U212" s="61"/>
      <c r="V212" s="62"/>
      <c r="W212" s="49"/>
    </row>
    <row r="213" spans="1:23" ht="11.25" customHeight="1" x14ac:dyDescent="0.3">
      <c r="A213" s="20">
        <f t="shared" si="3"/>
        <v>199</v>
      </c>
      <c r="B213" s="29"/>
      <c r="C213" s="29"/>
      <c r="D213" s="29"/>
      <c r="E213" s="29"/>
      <c r="F213" s="58"/>
      <c r="G213" s="58"/>
      <c r="H213" s="29"/>
      <c r="I213" s="29"/>
      <c r="J213" s="29"/>
      <c r="K213" s="29"/>
      <c r="L213" s="29"/>
      <c r="M213" s="29"/>
      <c r="N213" s="47"/>
      <c r="O213" s="29"/>
      <c r="P213" s="29"/>
      <c r="Q213" s="29"/>
      <c r="R213" s="60"/>
      <c r="S213" s="29"/>
      <c r="T213" s="29"/>
      <c r="U213" s="61"/>
      <c r="V213" s="62"/>
      <c r="W213" s="49"/>
    </row>
    <row r="214" spans="1:23" ht="11.25" customHeight="1" x14ac:dyDescent="0.3">
      <c r="A214" s="20">
        <f t="shared" si="3"/>
        <v>200</v>
      </c>
      <c r="B214" s="29"/>
      <c r="C214" s="29"/>
      <c r="D214" s="29"/>
      <c r="E214" s="29"/>
      <c r="F214" s="58"/>
      <c r="G214" s="58"/>
      <c r="H214" s="29"/>
      <c r="I214" s="29"/>
      <c r="J214" s="29"/>
      <c r="K214" s="29"/>
      <c r="L214" s="29"/>
      <c r="M214" s="29"/>
      <c r="N214" s="47"/>
      <c r="O214" s="29"/>
      <c r="P214" s="29"/>
      <c r="Q214" s="29"/>
      <c r="R214" s="60"/>
      <c r="S214" s="29"/>
      <c r="T214" s="29"/>
      <c r="U214" s="61"/>
      <c r="V214" s="62"/>
      <c r="W214" s="49"/>
    </row>
    <row r="215" spans="1:23" ht="11.25" customHeight="1" x14ac:dyDescent="0.3">
      <c r="A215" s="20">
        <f t="shared" si="3"/>
        <v>201</v>
      </c>
      <c r="B215" s="29"/>
      <c r="C215" s="29"/>
      <c r="D215" s="29"/>
      <c r="E215" s="29"/>
      <c r="F215" s="58"/>
      <c r="G215" s="58"/>
      <c r="H215" s="29"/>
      <c r="I215" s="29"/>
      <c r="J215" s="29"/>
      <c r="K215" s="29"/>
      <c r="L215" s="29"/>
      <c r="M215" s="29"/>
      <c r="N215" s="47"/>
      <c r="O215" s="29"/>
      <c r="P215" s="29"/>
      <c r="Q215" s="29"/>
      <c r="R215" s="60"/>
      <c r="S215" s="29"/>
      <c r="T215" s="29"/>
      <c r="U215" s="61"/>
      <c r="V215" s="62"/>
      <c r="W215" s="49"/>
    </row>
    <row r="216" spans="1:23" ht="11.25" customHeight="1" x14ac:dyDescent="0.3">
      <c r="A216" s="20">
        <f t="shared" si="3"/>
        <v>202</v>
      </c>
      <c r="B216" s="29"/>
      <c r="C216" s="29"/>
      <c r="D216" s="29"/>
      <c r="E216" s="29"/>
      <c r="F216" s="58"/>
      <c r="G216" s="58"/>
      <c r="H216" s="29"/>
      <c r="I216" s="29"/>
      <c r="J216" s="29"/>
      <c r="K216" s="29"/>
      <c r="L216" s="29"/>
      <c r="M216" s="29"/>
      <c r="N216" s="47"/>
      <c r="O216" s="29"/>
      <c r="P216" s="29"/>
      <c r="Q216" s="29"/>
      <c r="R216" s="60"/>
      <c r="S216" s="29"/>
      <c r="T216" s="29"/>
      <c r="U216" s="61"/>
      <c r="V216" s="62"/>
      <c r="W216" s="49"/>
    </row>
    <row r="217" spans="1:23" ht="11.25" customHeight="1" x14ac:dyDescent="0.3">
      <c r="A217" s="20">
        <f t="shared" si="3"/>
        <v>203</v>
      </c>
      <c r="B217" s="29"/>
      <c r="C217" s="29"/>
      <c r="D217" s="29"/>
      <c r="E217" s="29"/>
      <c r="F217" s="58"/>
      <c r="G217" s="58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60"/>
      <c r="S217" s="29"/>
      <c r="T217" s="29"/>
      <c r="U217" s="61"/>
      <c r="V217" s="62"/>
      <c r="W217" s="49"/>
    </row>
    <row r="218" spans="1:23" ht="11.25" customHeight="1" x14ac:dyDescent="0.3">
      <c r="A218" s="20">
        <f t="shared" si="3"/>
        <v>204</v>
      </c>
      <c r="B218" s="29"/>
      <c r="C218" s="29"/>
      <c r="D218" s="29"/>
      <c r="E218" s="29"/>
      <c r="F218" s="58"/>
      <c r="G218" s="58"/>
      <c r="H218" s="29"/>
      <c r="I218" s="29"/>
      <c r="J218" s="29"/>
      <c r="K218" s="29"/>
      <c r="L218" s="29"/>
      <c r="M218" s="29"/>
      <c r="N218" s="47"/>
      <c r="O218" s="29"/>
      <c r="P218" s="47"/>
      <c r="Q218" s="29"/>
      <c r="R218" s="60"/>
      <c r="S218" s="29"/>
      <c r="T218" s="29"/>
      <c r="U218" s="61"/>
      <c r="V218" s="62"/>
      <c r="W218" s="49"/>
    </row>
    <row r="219" spans="1:23" ht="11.25" customHeight="1" x14ac:dyDescent="0.3">
      <c r="A219" s="20">
        <f t="shared" si="3"/>
        <v>205</v>
      </c>
      <c r="B219" s="29"/>
      <c r="C219" s="29"/>
      <c r="D219" s="29"/>
      <c r="E219" s="29"/>
      <c r="F219" s="58"/>
      <c r="G219" s="58"/>
      <c r="H219" s="29"/>
      <c r="I219" s="29"/>
      <c r="J219" s="29"/>
      <c r="K219" s="29"/>
      <c r="L219" s="29"/>
      <c r="M219" s="29"/>
      <c r="N219" s="47"/>
      <c r="O219" s="29"/>
      <c r="P219" s="47"/>
      <c r="Q219" s="29"/>
      <c r="R219" s="60"/>
      <c r="S219" s="29"/>
      <c r="T219" s="29"/>
      <c r="U219" s="61"/>
      <c r="V219" s="62"/>
      <c r="W219" s="49"/>
    </row>
    <row r="220" spans="1:23" ht="11.25" customHeight="1" x14ac:dyDescent="0.3">
      <c r="A220" s="20">
        <f t="shared" si="3"/>
        <v>206</v>
      </c>
      <c r="B220" s="29"/>
      <c r="C220" s="29"/>
      <c r="D220" s="29"/>
      <c r="E220" s="29"/>
      <c r="F220" s="58"/>
      <c r="G220" s="58"/>
      <c r="H220" s="29"/>
      <c r="I220" s="29"/>
      <c r="J220" s="29"/>
      <c r="K220" s="29"/>
      <c r="L220" s="29"/>
      <c r="M220" s="29"/>
      <c r="N220" s="47"/>
      <c r="O220" s="29"/>
      <c r="P220" s="29"/>
      <c r="Q220" s="29"/>
      <c r="R220" s="60"/>
      <c r="S220" s="29"/>
      <c r="T220" s="29"/>
      <c r="U220" s="61"/>
      <c r="V220" s="62"/>
      <c r="W220" s="49"/>
    </row>
    <row r="221" spans="1:23" ht="11.25" customHeight="1" x14ac:dyDescent="0.3">
      <c r="A221" s="20">
        <f t="shared" si="3"/>
        <v>207</v>
      </c>
      <c r="B221" s="29"/>
      <c r="C221" s="29"/>
      <c r="D221" s="29"/>
      <c r="E221" s="29"/>
      <c r="F221" s="58"/>
      <c r="G221" s="58"/>
      <c r="H221" s="29"/>
      <c r="I221" s="29"/>
      <c r="J221" s="29"/>
      <c r="K221" s="29"/>
      <c r="L221" s="29"/>
      <c r="M221" s="29"/>
      <c r="N221" s="47"/>
      <c r="O221" s="29"/>
      <c r="P221" s="47"/>
      <c r="Q221" s="29"/>
      <c r="R221" s="60"/>
      <c r="S221" s="29"/>
      <c r="T221" s="29"/>
      <c r="U221" s="61"/>
      <c r="V221" s="62"/>
      <c r="W221" s="49"/>
    </row>
    <row r="222" spans="1:23" ht="11.25" customHeight="1" x14ac:dyDescent="0.3">
      <c r="A222" s="20">
        <f t="shared" si="3"/>
        <v>208</v>
      </c>
      <c r="B222" s="29"/>
      <c r="C222" s="29"/>
      <c r="D222" s="29"/>
      <c r="E222" s="29"/>
      <c r="F222" s="58"/>
      <c r="G222" s="58"/>
      <c r="H222" s="29"/>
      <c r="I222" s="29"/>
      <c r="J222" s="29"/>
      <c r="K222" s="29"/>
      <c r="L222" s="29"/>
      <c r="M222" s="29"/>
      <c r="N222" s="47"/>
      <c r="O222" s="29"/>
      <c r="P222" s="29"/>
      <c r="Q222" s="29"/>
      <c r="R222" s="60"/>
      <c r="S222" s="29"/>
      <c r="T222" s="29"/>
      <c r="U222" s="61"/>
      <c r="V222" s="62"/>
      <c r="W222" s="49"/>
    </row>
    <row r="223" spans="1:23" ht="11.25" customHeight="1" x14ac:dyDescent="0.3">
      <c r="A223" s="20">
        <f t="shared" si="3"/>
        <v>209</v>
      </c>
      <c r="B223" s="29"/>
      <c r="C223" s="29"/>
      <c r="D223" s="29"/>
      <c r="E223" s="29"/>
      <c r="F223" s="58"/>
      <c r="G223" s="58"/>
      <c r="H223" s="29"/>
      <c r="I223" s="29"/>
      <c r="J223" s="29"/>
      <c r="K223" s="29"/>
      <c r="L223" s="29"/>
      <c r="M223" s="29"/>
      <c r="N223" s="47"/>
      <c r="O223" s="29"/>
      <c r="P223" s="29"/>
      <c r="Q223" s="29"/>
      <c r="R223" s="60"/>
      <c r="S223" s="29"/>
      <c r="T223" s="29"/>
      <c r="U223" s="61"/>
      <c r="V223" s="62"/>
      <c r="W223" s="49"/>
    </row>
    <row r="224" spans="1:23" ht="11.25" customHeight="1" x14ac:dyDescent="0.3">
      <c r="A224" s="20">
        <f t="shared" si="3"/>
        <v>210</v>
      </c>
      <c r="B224" s="29"/>
      <c r="C224" s="29"/>
      <c r="D224" s="29"/>
      <c r="E224" s="29"/>
      <c r="F224" s="58"/>
      <c r="G224" s="58"/>
      <c r="H224" s="29"/>
      <c r="I224" s="29"/>
      <c r="J224" s="29"/>
      <c r="K224" s="29"/>
      <c r="L224" s="29"/>
      <c r="M224" s="29"/>
      <c r="N224" s="47"/>
      <c r="O224" s="29"/>
      <c r="P224" s="29"/>
      <c r="Q224" s="29"/>
      <c r="R224" s="60"/>
      <c r="S224" s="29"/>
      <c r="T224" s="29"/>
      <c r="U224" s="61"/>
      <c r="V224" s="62"/>
      <c r="W224" s="49"/>
    </row>
    <row r="225" spans="1:23" ht="11.25" customHeight="1" x14ac:dyDescent="0.3">
      <c r="A225" s="20">
        <f t="shared" si="3"/>
        <v>211</v>
      </c>
      <c r="B225" s="29"/>
      <c r="C225" s="29"/>
      <c r="D225" s="29"/>
      <c r="E225" s="29"/>
      <c r="F225" s="58"/>
      <c r="G225" s="58"/>
      <c r="H225" s="29"/>
      <c r="I225" s="29"/>
      <c r="J225" s="29"/>
      <c r="K225" s="29"/>
      <c r="L225" s="29"/>
      <c r="M225" s="29"/>
      <c r="N225" s="47"/>
      <c r="O225" s="29"/>
      <c r="P225" s="29"/>
      <c r="Q225" s="29"/>
      <c r="R225" s="60"/>
      <c r="S225" s="29"/>
      <c r="T225" s="29"/>
      <c r="U225" s="61"/>
      <c r="V225" s="62"/>
      <c r="W225" s="49"/>
    </row>
    <row r="226" spans="1:23" ht="11.25" customHeight="1" x14ac:dyDescent="0.3">
      <c r="A226" s="20">
        <f t="shared" si="3"/>
        <v>212</v>
      </c>
      <c r="B226" s="29"/>
      <c r="C226" s="29"/>
      <c r="D226" s="29"/>
      <c r="E226" s="29"/>
      <c r="F226" s="58"/>
      <c r="G226" s="58"/>
      <c r="H226" s="29"/>
      <c r="I226" s="29"/>
      <c r="J226" s="29"/>
      <c r="K226" s="29"/>
      <c r="L226" s="29"/>
      <c r="M226" s="29"/>
      <c r="N226" s="47"/>
      <c r="O226" s="29"/>
      <c r="P226" s="29"/>
      <c r="Q226" s="29"/>
      <c r="R226" s="60"/>
      <c r="S226" s="29"/>
      <c r="T226" s="29"/>
      <c r="U226" s="61"/>
      <c r="V226" s="62"/>
      <c r="W226" s="49"/>
    </row>
    <row r="227" spans="1:23" ht="11.25" customHeight="1" x14ac:dyDescent="0.3">
      <c r="A227" s="20">
        <f t="shared" si="3"/>
        <v>213</v>
      </c>
      <c r="B227" s="29"/>
      <c r="C227" s="29"/>
      <c r="D227" s="29"/>
      <c r="E227" s="29"/>
      <c r="F227" s="58"/>
      <c r="G227" s="58"/>
      <c r="H227" s="29"/>
      <c r="I227" s="29"/>
      <c r="J227" s="29"/>
      <c r="K227" s="29"/>
      <c r="L227" s="29"/>
      <c r="M227" s="29"/>
      <c r="N227" s="47"/>
      <c r="O227" s="29"/>
      <c r="P227" s="47"/>
      <c r="Q227" s="29"/>
      <c r="R227" s="60"/>
      <c r="S227" s="29"/>
      <c r="T227" s="29"/>
      <c r="U227" s="61"/>
      <c r="V227" s="62"/>
      <c r="W227" s="49"/>
    </row>
    <row r="228" spans="1:23" ht="11.25" customHeight="1" x14ac:dyDescent="0.3">
      <c r="A228" s="20">
        <f t="shared" si="3"/>
        <v>214</v>
      </c>
      <c r="B228" s="29"/>
      <c r="C228" s="29"/>
      <c r="D228" s="29"/>
      <c r="E228" s="29"/>
      <c r="F228" s="58"/>
      <c r="G228" s="58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60"/>
      <c r="S228" s="29"/>
      <c r="T228" s="29"/>
      <c r="U228" s="61"/>
      <c r="V228" s="62"/>
      <c r="W228" s="49"/>
    </row>
    <row r="229" spans="1:23" ht="11.25" customHeight="1" x14ac:dyDescent="0.3">
      <c r="A229" s="20">
        <f t="shared" si="3"/>
        <v>215</v>
      </c>
      <c r="B229" s="29"/>
      <c r="C229" s="29"/>
      <c r="D229" s="29"/>
      <c r="E229" s="29"/>
      <c r="F229" s="58"/>
      <c r="G229" s="58"/>
      <c r="H229" s="29"/>
      <c r="I229" s="29"/>
      <c r="J229" s="29"/>
      <c r="K229" s="29"/>
      <c r="L229" s="29"/>
      <c r="M229" s="29"/>
      <c r="N229" s="47"/>
      <c r="O229" s="29"/>
      <c r="P229" s="29"/>
      <c r="Q229" s="29"/>
      <c r="R229" s="60"/>
      <c r="S229" s="29"/>
      <c r="T229" s="29"/>
      <c r="U229" s="61"/>
      <c r="V229" s="62"/>
      <c r="W229" s="49"/>
    </row>
    <row r="230" spans="1:23" ht="11.25" customHeight="1" x14ac:dyDescent="0.3">
      <c r="A230" s="20">
        <f t="shared" si="3"/>
        <v>216</v>
      </c>
      <c r="B230" s="29"/>
      <c r="C230" s="29"/>
      <c r="D230" s="29"/>
      <c r="E230" s="29"/>
      <c r="F230" s="58"/>
      <c r="G230" s="58"/>
      <c r="H230" s="29"/>
      <c r="I230" s="29"/>
      <c r="J230" s="29"/>
      <c r="K230" s="29"/>
      <c r="L230" s="29"/>
      <c r="M230" s="29"/>
      <c r="N230" s="47"/>
      <c r="O230" s="29"/>
      <c r="P230" s="47"/>
      <c r="Q230" s="29"/>
      <c r="R230" s="60"/>
      <c r="S230" s="29"/>
      <c r="T230" s="29"/>
      <c r="U230" s="61"/>
      <c r="V230" s="62"/>
      <c r="W230" s="49"/>
    </row>
    <row r="231" spans="1:23" ht="11.25" customHeight="1" x14ac:dyDescent="0.3">
      <c r="A231" s="20">
        <f t="shared" si="3"/>
        <v>217</v>
      </c>
      <c r="B231" s="29"/>
      <c r="C231" s="29"/>
      <c r="D231" s="29"/>
      <c r="E231" s="29"/>
      <c r="F231" s="58"/>
      <c r="G231" s="58"/>
      <c r="H231" s="29"/>
      <c r="I231" s="29"/>
      <c r="J231" s="29"/>
      <c r="K231" s="29"/>
      <c r="L231" s="29"/>
      <c r="M231" s="29"/>
      <c r="N231" s="47"/>
      <c r="O231" s="29"/>
      <c r="P231" s="29"/>
      <c r="Q231" s="29"/>
      <c r="R231" s="60"/>
      <c r="S231" s="29"/>
      <c r="T231" s="29"/>
      <c r="U231" s="61"/>
      <c r="V231" s="62"/>
      <c r="W231" s="49"/>
    </row>
    <row r="232" spans="1:23" ht="11.25" customHeight="1" x14ac:dyDescent="0.3">
      <c r="A232" s="20">
        <f t="shared" si="3"/>
        <v>218</v>
      </c>
      <c r="B232" s="29"/>
      <c r="C232" s="29"/>
      <c r="D232" s="29"/>
      <c r="E232" s="29"/>
      <c r="F232" s="58"/>
      <c r="G232" s="58"/>
      <c r="H232" s="29"/>
      <c r="I232" s="29"/>
      <c r="J232" s="29"/>
      <c r="K232" s="29"/>
      <c r="L232" s="29"/>
      <c r="M232" s="29"/>
      <c r="N232" s="47"/>
      <c r="O232" s="29"/>
      <c r="P232" s="29"/>
      <c r="Q232" s="29"/>
      <c r="R232" s="60"/>
      <c r="S232" s="47"/>
      <c r="T232" s="29"/>
      <c r="U232" s="61"/>
      <c r="V232" s="62"/>
      <c r="W232" s="49"/>
    </row>
    <row r="233" spans="1:23" ht="11.25" customHeight="1" x14ac:dyDescent="0.3">
      <c r="A233" s="20">
        <f t="shared" si="3"/>
        <v>219</v>
      </c>
      <c r="B233" s="29"/>
      <c r="C233" s="29"/>
      <c r="D233" s="29"/>
      <c r="E233" s="29"/>
      <c r="F233" s="58"/>
      <c r="G233" s="58"/>
      <c r="H233" s="29"/>
      <c r="I233" s="29"/>
      <c r="J233" s="29"/>
      <c r="K233" s="29"/>
      <c r="L233" s="29"/>
      <c r="M233" s="29"/>
      <c r="N233" s="47"/>
      <c r="O233" s="29"/>
      <c r="P233" s="29"/>
      <c r="Q233" s="29"/>
      <c r="R233" s="60"/>
      <c r="S233" s="47"/>
      <c r="T233" s="29"/>
      <c r="U233" s="61"/>
      <c r="V233" s="62"/>
      <c r="W233" s="49"/>
    </row>
    <row r="234" spans="1:23" ht="11.25" customHeight="1" x14ac:dyDescent="0.3">
      <c r="A234" s="20">
        <v>218</v>
      </c>
      <c r="B234" s="29"/>
      <c r="C234" s="29"/>
      <c r="D234" s="29"/>
      <c r="E234" s="29"/>
      <c r="F234" s="58"/>
      <c r="G234" s="58"/>
      <c r="H234" s="29"/>
      <c r="I234" s="29"/>
      <c r="J234" s="29"/>
      <c r="K234" s="29"/>
      <c r="L234" s="29"/>
      <c r="M234" s="29"/>
      <c r="N234" s="47"/>
      <c r="O234" s="29"/>
      <c r="P234" s="29"/>
      <c r="Q234" s="29"/>
      <c r="R234" s="60"/>
      <c r="S234" s="29"/>
      <c r="T234" s="29"/>
      <c r="U234" s="61"/>
      <c r="V234" s="62"/>
      <c r="W234" s="49"/>
    </row>
    <row r="235" spans="1:23" ht="11.25" customHeight="1" x14ac:dyDescent="0.3">
      <c r="A235" s="20">
        <f t="shared" si="3"/>
        <v>221</v>
      </c>
      <c r="B235" s="29"/>
      <c r="C235" s="29"/>
      <c r="D235" s="29"/>
      <c r="E235" s="29"/>
      <c r="F235" s="58"/>
      <c r="G235" s="58"/>
      <c r="H235" s="29"/>
      <c r="I235" s="29"/>
      <c r="J235" s="29"/>
      <c r="K235" s="29"/>
      <c r="L235" s="29"/>
      <c r="M235" s="29"/>
      <c r="N235" s="47"/>
      <c r="O235" s="29"/>
      <c r="P235" s="29"/>
      <c r="Q235" s="29"/>
      <c r="R235" s="60"/>
      <c r="S235" s="29"/>
      <c r="T235" s="29"/>
      <c r="U235" s="61"/>
      <c r="V235" s="62"/>
      <c r="W235" s="49"/>
    </row>
    <row r="236" spans="1:23" ht="11.25" customHeight="1" x14ac:dyDescent="0.3">
      <c r="A236" s="20">
        <f t="shared" si="3"/>
        <v>222</v>
      </c>
      <c r="B236" s="29"/>
      <c r="C236" s="29"/>
      <c r="D236" s="29"/>
      <c r="E236" s="29"/>
      <c r="F236" s="58"/>
      <c r="G236" s="58"/>
      <c r="H236" s="29"/>
      <c r="I236" s="29"/>
      <c r="J236" s="29"/>
      <c r="K236" s="29"/>
      <c r="L236" s="29"/>
      <c r="M236" s="29"/>
      <c r="N236" s="47"/>
      <c r="O236" s="29"/>
      <c r="P236" s="29"/>
      <c r="Q236" s="29"/>
      <c r="R236" s="60"/>
      <c r="S236" s="29"/>
      <c r="T236" s="29"/>
      <c r="U236" s="61"/>
      <c r="V236" s="62"/>
      <c r="W236" s="49"/>
    </row>
    <row r="237" spans="1:23" ht="11.25" customHeight="1" x14ac:dyDescent="0.3">
      <c r="A237" s="20">
        <f t="shared" si="3"/>
        <v>223</v>
      </c>
      <c r="B237" s="29"/>
      <c r="C237" s="29"/>
      <c r="D237" s="29"/>
      <c r="E237" s="29"/>
      <c r="F237" s="58"/>
      <c r="G237" s="58"/>
      <c r="H237" s="29"/>
      <c r="I237" s="29"/>
      <c r="J237" s="29"/>
      <c r="K237" s="29"/>
      <c r="L237" s="29"/>
      <c r="M237" s="29"/>
      <c r="N237" s="47"/>
      <c r="O237" s="29"/>
      <c r="P237" s="29"/>
      <c r="Q237" s="29"/>
      <c r="R237" s="60"/>
      <c r="S237" s="29"/>
      <c r="T237" s="29"/>
      <c r="U237" s="61"/>
      <c r="V237" s="62"/>
      <c r="W237" s="49"/>
    </row>
    <row r="238" spans="1:23" ht="11.25" customHeight="1" x14ac:dyDescent="0.3">
      <c r="A238" s="20">
        <f t="shared" si="3"/>
        <v>224</v>
      </c>
      <c r="B238" s="29"/>
      <c r="C238" s="29"/>
      <c r="D238" s="29"/>
      <c r="E238" s="29"/>
      <c r="F238" s="58"/>
      <c r="G238" s="58"/>
      <c r="H238" s="29"/>
      <c r="I238" s="29"/>
      <c r="J238" s="29"/>
      <c r="K238" s="29"/>
      <c r="L238" s="29"/>
      <c r="M238" s="29"/>
      <c r="N238" s="47"/>
      <c r="O238" s="29"/>
      <c r="P238" s="47"/>
      <c r="Q238" s="29"/>
      <c r="R238" s="60"/>
      <c r="S238" s="29"/>
      <c r="T238" s="29"/>
      <c r="U238" s="61"/>
      <c r="V238" s="62"/>
      <c r="W238" s="49"/>
    </row>
    <row r="239" spans="1:23" ht="11.25" customHeight="1" x14ac:dyDescent="0.3">
      <c r="A239" s="20">
        <f t="shared" si="3"/>
        <v>225</v>
      </c>
      <c r="B239" s="29"/>
      <c r="C239" s="29"/>
      <c r="D239" s="29"/>
      <c r="E239" s="29"/>
      <c r="F239" s="58"/>
      <c r="G239" s="58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60"/>
      <c r="S239" s="29"/>
      <c r="T239" s="29"/>
      <c r="U239" s="61"/>
      <c r="V239" s="62"/>
      <c r="W239" s="49"/>
    </row>
    <row r="240" spans="1:23" ht="11.25" customHeight="1" x14ac:dyDescent="0.3">
      <c r="A240" s="20">
        <f t="shared" si="3"/>
        <v>226</v>
      </c>
      <c r="B240" s="29"/>
      <c r="C240" s="29"/>
      <c r="D240" s="29"/>
      <c r="E240" s="29"/>
      <c r="F240" s="29"/>
      <c r="G240" s="58"/>
      <c r="H240" s="29"/>
      <c r="I240" s="29"/>
      <c r="J240" s="29"/>
      <c r="K240" s="29"/>
      <c r="L240" s="29"/>
      <c r="M240" s="29"/>
      <c r="N240" s="47"/>
      <c r="O240" s="29"/>
      <c r="P240" s="47"/>
      <c r="Q240" s="29"/>
      <c r="R240" s="60"/>
      <c r="S240" s="29"/>
      <c r="T240" s="29"/>
      <c r="U240" s="61"/>
      <c r="V240" s="62"/>
      <c r="W240" s="49"/>
    </row>
    <row r="241" spans="1:23" ht="11.25" customHeight="1" x14ac:dyDescent="0.3">
      <c r="A241" s="20">
        <f t="shared" si="3"/>
        <v>227</v>
      </c>
      <c r="B241" s="29"/>
      <c r="C241" s="29"/>
      <c r="D241" s="29"/>
      <c r="E241" s="29"/>
      <c r="F241" s="58"/>
      <c r="G241" s="58"/>
      <c r="H241" s="29"/>
      <c r="I241" s="29"/>
      <c r="J241" s="29"/>
      <c r="K241" s="29"/>
      <c r="L241" s="29"/>
      <c r="M241" s="29"/>
      <c r="N241" s="47"/>
      <c r="O241" s="29"/>
      <c r="P241" s="29"/>
      <c r="Q241" s="29"/>
      <c r="R241" s="60"/>
      <c r="S241" s="29"/>
      <c r="T241" s="29"/>
      <c r="U241" s="61"/>
      <c r="V241" s="62"/>
      <c r="W241" s="49"/>
    </row>
    <row r="242" spans="1:23" ht="11.25" customHeight="1" x14ac:dyDescent="0.3">
      <c r="A242" s="20">
        <f t="shared" si="3"/>
        <v>228</v>
      </c>
      <c r="B242" s="29"/>
      <c r="C242" s="29"/>
      <c r="D242" s="29"/>
      <c r="E242" s="29"/>
      <c r="F242" s="58"/>
      <c r="G242" s="58"/>
      <c r="H242" s="29"/>
      <c r="I242" s="29"/>
      <c r="J242" s="29"/>
      <c r="K242" s="29"/>
      <c r="L242" s="29"/>
      <c r="M242" s="29"/>
      <c r="N242" s="47"/>
      <c r="O242" s="29"/>
      <c r="P242" s="29"/>
      <c r="Q242" s="29"/>
      <c r="R242" s="60"/>
      <c r="S242" s="29"/>
      <c r="T242" s="29"/>
      <c r="U242" s="61"/>
      <c r="V242" s="62"/>
      <c r="W242" s="49"/>
    </row>
    <row r="243" spans="1:23" ht="11.25" customHeight="1" x14ac:dyDescent="0.3">
      <c r="A243" s="20">
        <f t="shared" si="3"/>
        <v>229</v>
      </c>
      <c r="B243" s="29"/>
      <c r="C243" s="29"/>
      <c r="D243" s="29"/>
      <c r="E243" s="29"/>
      <c r="F243" s="58"/>
      <c r="G243" s="58"/>
      <c r="H243" s="29"/>
      <c r="I243" s="29"/>
      <c r="J243" s="29"/>
      <c r="K243" s="29"/>
      <c r="L243" s="29"/>
      <c r="M243" s="29"/>
      <c r="N243" s="47"/>
      <c r="O243" s="29"/>
      <c r="P243" s="29"/>
      <c r="Q243" s="29"/>
      <c r="R243" s="60"/>
      <c r="S243" s="29"/>
      <c r="T243" s="29"/>
      <c r="U243" s="61"/>
      <c r="V243" s="62"/>
      <c r="W243" s="49"/>
    </row>
    <row r="244" spans="1:23" ht="11.25" customHeight="1" x14ac:dyDescent="0.3">
      <c r="A244" s="20">
        <f t="shared" si="3"/>
        <v>230</v>
      </c>
      <c r="B244" s="29"/>
      <c r="C244" s="29"/>
      <c r="D244" s="29"/>
      <c r="E244" s="29"/>
      <c r="F244" s="58"/>
      <c r="G244" s="58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60"/>
      <c r="S244" s="29"/>
      <c r="T244" s="29"/>
      <c r="U244" s="61"/>
      <c r="V244" s="62"/>
      <c r="W244" s="49"/>
    </row>
    <row r="245" spans="1:23" ht="11.25" customHeight="1" x14ac:dyDescent="0.3">
      <c r="A245" s="20">
        <f t="shared" si="3"/>
        <v>231</v>
      </c>
      <c r="B245" s="29"/>
      <c r="C245" s="29"/>
      <c r="D245" s="29"/>
      <c r="E245" s="29"/>
      <c r="F245" s="29"/>
      <c r="G245" s="58"/>
      <c r="H245" s="29"/>
      <c r="I245" s="29"/>
      <c r="J245" s="29"/>
      <c r="K245" s="29"/>
      <c r="L245" s="29"/>
      <c r="M245" s="29"/>
      <c r="N245" s="47"/>
      <c r="O245" s="29"/>
      <c r="P245" s="47"/>
      <c r="Q245" s="29"/>
      <c r="R245" s="60"/>
      <c r="S245" s="29"/>
      <c r="T245" s="29"/>
      <c r="U245" s="61"/>
      <c r="V245" s="62"/>
      <c r="W245" s="49"/>
    </row>
    <row r="246" spans="1:23" ht="11.25" customHeight="1" x14ac:dyDescent="0.3">
      <c r="A246" s="20">
        <f t="shared" si="3"/>
        <v>232</v>
      </c>
      <c r="B246" s="29"/>
      <c r="C246" s="29"/>
      <c r="D246" s="29"/>
      <c r="E246" s="29"/>
      <c r="F246" s="58"/>
      <c r="G246" s="58"/>
      <c r="H246" s="29"/>
      <c r="I246" s="29"/>
      <c r="J246" s="29"/>
      <c r="K246" s="29"/>
      <c r="L246" s="29"/>
      <c r="M246" s="29"/>
      <c r="N246" s="47"/>
      <c r="O246" s="29"/>
      <c r="P246" s="29"/>
      <c r="Q246" s="29"/>
      <c r="R246" s="60"/>
      <c r="S246" s="29"/>
      <c r="T246" s="29"/>
      <c r="U246" s="61"/>
      <c r="V246" s="62"/>
      <c r="W246" s="49"/>
    </row>
    <row r="247" spans="1:23" ht="11.25" customHeight="1" x14ac:dyDescent="0.3">
      <c r="A247" s="20">
        <f t="shared" si="3"/>
        <v>233</v>
      </c>
      <c r="B247" s="29"/>
      <c r="C247" s="29"/>
      <c r="D247" s="29"/>
      <c r="E247" s="29"/>
      <c r="F247" s="58"/>
      <c r="G247" s="58"/>
      <c r="H247" s="29"/>
      <c r="I247" s="29"/>
      <c r="J247" s="29"/>
      <c r="K247" s="29"/>
      <c r="L247" s="29"/>
      <c r="M247" s="29"/>
      <c r="N247" s="47"/>
      <c r="O247" s="29"/>
      <c r="P247" s="47"/>
      <c r="Q247" s="29"/>
      <c r="R247" s="60"/>
      <c r="S247" s="29"/>
      <c r="T247" s="29"/>
      <c r="U247" s="61"/>
      <c r="V247" s="62"/>
      <c r="W247" s="49"/>
    </row>
    <row r="248" spans="1:23" ht="11.25" customHeight="1" x14ac:dyDescent="0.3">
      <c r="A248" s="20">
        <f t="shared" si="3"/>
        <v>234</v>
      </c>
      <c r="B248" s="29"/>
      <c r="C248" s="29"/>
      <c r="D248" s="29"/>
      <c r="E248" s="29"/>
      <c r="F248" s="58"/>
      <c r="G248" s="58"/>
      <c r="H248" s="29"/>
      <c r="I248" s="29"/>
      <c r="J248" s="29"/>
      <c r="K248" s="29"/>
      <c r="L248" s="29"/>
      <c r="M248" s="29"/>
      <c r="N248" s="47"/>
      <c r="O248" s="29"/>
      <c r="P248" s="47"/>
      <c r="Q248" s="29"/>
      <c r="R248" s="60"/>
      <c r="S248" s="29"/>
      <c r="T248" s="29"/>
      <c r="U248" s="61"/>
      <c r="V248" s="62"/>
      <c r="W248" s="49"/>
    </row>
    <row r="249" spans="1:23" ht="11.25" customHeight="1" x14ac:dyDescent="0.3">
      <c r="A249" s="20">
        <f t="shared" si="3"/>
        <v>235</v>
      </c>
      <c r="B249" s="29"/>
      <c r="C249" s="29"/>
      <c r="D249" s="29"/>
      <c r="E249" s="29"/>
      <c r="F249" s="58"/>
      <c r="G249" s="58"/>
      <c r="H249" s="29"/>
      <c r="I249" s="29"/>
      <c r="J249" s="29"/>
      <c r="K249" s="29"/>
      <c r="L249" s="29"/>
      <c r="M249" s="29"/>
      <c r="N249" s="47"/>
      <c r="O249" s="29"/>
      <c r="P249" s="29"/>
      <c r="Q249" s="29"/>
      <c r="R249" s="60"/>
      <c r="S249" s="29"/>
      <c r="T249" s="29"/>
      <c r="U249" s="61"/>
      <c r="V249" s="62"/>
      <c r="W249" s="49"/>
    </row>
    <row r="250" spans="1:23" ht="11.25" customHeight="1" x14ac:dyDescent="0.3">
      <c r="A250" s="20">
        <f t="shared" si="3"/>
        <v>236</v>
      </c>
      <c r="B250" s="29"/>
      <c r="C250" s="29"/>
      <c r="D250" s="29"/>
      <c r="E250" s="29"/>
      <c r="F250" s="58"/>
      <c r="G250" s="58"/>
      <c r="H250" s="29"/>
      <c r="I250" s="29"/>
      <c r="J250" s="29"/>
      <c r="K250" s="29"/>
      <c r="L250" s="29"/>
      <c r="M250" s="29"/>
      <c r="N250" s="47"/>
      <c r="O250" s="29"/>
      <c r="P250" s="29"/>
      <c r="Q250" s="29"/>
      <c r="R250" s="60"/>
      <c r="S250" s="29"/>
      <c r="T250" s="29"/>
      <c r="U250" s="61"/>
      <c r="V250" s="62"/>
      <c r="W250" s="49"/>
    </row>
    <row r="251" spans="1:23" ht="11.25" customHeight="1" x14ac:dyDescent="0.3">
      <c r="A251" s="20">
        <f t="shared" si="3"/>
        <v>237</v>
      </c>
      <c r="B251" s="29"/>
      <c r="C251" s="29"/>
      <c r="D251" s="29"/>
      <c r="E251" s="29"/>
      <c r="F251" s="58"/>
      <c r="G251" s="58"/>
      <c r="H251" s="29"/>
      <c r="I251" s="29"/>
      <c r="J251" s="29"/>
      <c r="K251" s="29"/>
      <c r="L251" s="29"/>
      <c r="M251" s="29"/>
      <c r="N251" s="47"/>
      <c r="O251" s="29"/>
      <c r="P251" s="29"/>
      <c r="Q251" s="29"/>
      <c r="R251" s="60"/>
      <c r="S251" s="29"/>
      <c r="T251" s="29"/>
      <c r="U251" s="61"/>
      <c r="V251" s="62"/>
      <c r="W251" s="49"/>
    </row>
    <row r="252" spans="1:23" ht="11.25" customHeight="1" x14ac:dyDescent="0.3">
      <c r="A252" s="20">
        <f t="shared" si="3"/>
        <v>238</v>
      </c>
      <c r="B252" s="29"/>
      <c r="C252" s="29"/>
      <c r="D252" s="29"/>
      <c r="E252" s="29"/>
      <c r="F252" s="58"/>
      <c r="G252" s="58"/>
      <c r="H252" s="29"/>
      <c r="I252" s="29"/>
      <c r="J252" s="29"/>
      <c r="K252" s="29"/>
      <c r="L252" s="29"/>
      <c r="M252" s="29"/>
      <c r="N252" s="47"/>
      <c r="O252" s="29"/>
      <c r="P252" s="29"/>
      <c r="Q252" s="29"/>
      <c r="R252" s="60"/>
      <c r="S252" s="29"/>
      <c r="T252" s="29"/>
      <c r="U252" s="61"/>
      <c r="V252" s="62"/>
      <c r="W252" s="49"/>
    </row>
    <row r="253" spans="1:23" ht="11.25" customHeight="1" x14ac:dyDescent="0.3">
      <c r="A253" s="20">
        <f t="shared" si="3"/>
        <v>239</v>
      </c>
      <c r="B253" s="29"/>
      <c r="C253" s="29"/>
      <c r="D253" s="29"/>
      <c r="E253" s="29"/>
      <c r="F253" s="58"/>
      <c r="G253" s="58"/>
      <c r="H253" s="29"/>
      <c r="I253" s="29"/>
      <c r="J253" s="29"/>
      <c r="K253" s="29"/>
      <c r="L253" s="29"/>
      <c r="M253" s="29"/>
      <c r="N253" s="47"/>
      <c r="O253" s="29"/>
      <c r="P253" s="29"/>
      <c r="Q253" s="29"/>
      <c r="R253" s="60"/>
      <c r="S253" s="29"/>
      <c r="T253" s="29"/>
      <c r="U253" s="61"/>
      <c r="V253" s="62"/>
      <c r="W253" s="49"/>
    </row>
    <row r="254" spans="1:23" ht="11.25" customHeight="1" x14ac:dyDescent="0.3">
      <c r="A254" s="20">
        <f t="shared" si="3"/>
        <v>240</v>
      </c>
      <c r="B254" s="29"/>
      <c r="C254" s="29"/>
      <c r="D254" s="29"/>
      <c r="E254" s="29"/>
      <c r="F254" s="58"/>
      <c r="G254" s="58"/>
      <c r="H254" s="29"/>
      <c r="I254" s="29"/>
      <c r="J254" s="29"/>
      <c r="K254" s="29"/>
      <c r="L254" s="29"/>
      <c r="M254" s="29"/>
      <c r="N254" s="47"/>
      <c r="O254" s="29"/>
      <c r="P254" s="29"/>
      <c r="Q254" s="29"/>
      <c r="R254" s="60"/>
      <c r="S254" s="29"/>
      <c r="T254" s="29"/>
      <c r="U254" s="61"/>
      <c r="V254" s="62"/>
      <c r="W254" s="49"/>
    </row>
    <row r="255" spans="1:23" ht="11.25" customHeight="1" x14ac:dyDescent="0.3">
      <c r="A255" s="20">
        <f t="shared" si="3"/>
        <v>241</v>
      </c>
      <c r="B255" s="29"/>
      <c r="C255" s="29"/>
      <c r="D255" s="29"/>
      <c r="E255" s="29"/>
      <c r="F255" s="58"/>
      <c r="G255" s="58"/>
      <c r="H255" s="29"/>
      <c r="I255" s="29"/>
      <c r="J255" s="29"/>
      <c r="K255" s="29"/>
      <c r="L255" s="29"/>
      <c r="M255" s="29"/>
      <c r="N255" s="47"/>
      <c r="O255" s="29"/>
      <c r="P255" s="29"/>
      <c r="Q255" s="29"/>
      <c r="R255" s="60"/>
      <c r="S255" s="29"/>
      <c r="T255" s="29"/>
      <c r="U255" s="61"/>
      <c r="V255" s="62"/>
      <c r="W255" s="49"/>
    </row>
    <row r="256" spans="1:23" ht="11.25" customHeight="1" x14ac:dyDescent="0.3">
      <c r="A256" s="20">
        <f t="shared" si="3"/>
        <v>242</v>
      </c>
      <c r="B256" s="29"/>
      <c r="C256" s="29"/>
      <c r="D256" s="29"/>
      <c r="E256" s="29"/>
      <c r="F256" s="58"/>
      <c r="G256" s="58"/>
      <c r="H256" s="29"/>
      <c r="I256" s="29"/>
      <c r="J256" s="29"/>
      <c r="K256" s="29"/>
      <c r="L256" s="29"/>
      <c r="M256" s="29"/>
      <c r="N256" s="47"/>
      <c r="O256" s="29"/>
      <c r="P256" s="29"/>
      <c r="Q256" s="29"/>
      <c r="R256" s="60"/>
      <c r="S256" s="29"/>
      <c r="T256" s="29"/>
      <c r="U256" s="61"/>
      <c r="V256" s="62"/>
      <c r="W256" s="49"/>
    </row>
    <row r="257" spans="1:23" ht="11.25" customHeight="1" x14ac:dyDescent="0.3">
      <c r="A257" s="20">
        <f t="shared" si="3"/>
        <v>243</v>
      </c>
      <c r="B257" s="29"/>
      <c r="C257" s="29"/>
      <c r="D257" s="29"/>
      <c r="E257" s="29"/>
      <c r="F257" s="58"/>
      <c r="G257" s="58"/>
      <c r="H257" s="29"/>
      <c r="I257" s="29"/>
      <c r="J257" s="29"/>
      <c r="K257" s="29"/>
      <c r="L257" s="29"/>
      <c r="M257" s="29"/>
      <c r="N257" s="47"/>
      <c r="O257" s="29"/>
      <c r="P257" s="29"/>
      <c r="Q257" s="29"/>
      <c r="R257" s="60"/>
      <c r="S257" s="29"/>
      <c r="T257" s="29"/>
      <c r="U257" s="61"/>
      <c r="V257" s="62"/>
      <c r="W257" s="49"/>
    </row>
    <row r="258" spans="1:23" ht="11.25" customHeight="1" x14ac:dyDescent="0.3">
      <c r="A258" s="20">
        <f t="shared" si="3"/>
        <v>244</v>
      </c>
      <c r="B258" s="29"/>
      <c r="C258" s="29"/>
      <c r="D258" s="29"/>
      <c r="E258" s="29"/>
      <c r="F258" s="58"/>
      <c r="G258" s="58"/>
      <c r="H258" s="29"/>
      <c r="I258" s="29"/>
      <c r="J258" s="29"/>
      <c r="K258" s="29"/>
      <c r="L258" s="29"/>
      <c r="M258" s="29"/>
      <c r="N258" s="47"/>
      <c r="O258" s="29"/>
      <c r="P258" s="29"/>
      <c r="Q258" s="29"/>
      <c r="R258" s="60"/>
      <c r="S258" s="29"/>
      <c r="T258" s="29"/>
      <c r="U258" s="61"/>
      <c r="V258" s="62"/>
      <c r="W258" s="49"/>
    </row>
    <row r="259" spans="1:23" ht="11.25" customHeight="1" x14ac:dyDescent="0.3">
      <c r="A259" s="20">
        <f t="shared" si="3"/>
        <v>245</v>
      </c>
      <c r="B259" s="29"/>
      <c r="C259" s="29"/>
      <c r="D259" s="29"/>
      <c r="E259" s="29"/>
      <c r="F259" s="58"/>
      <c r="G259" s="58"/>
      <c r="H259" s="29"/>
      <c r="I259" s="29"/>
      <c r="J259" s="29"/>
      <c r="K259" s="29"/>
      <c r="L259" s="29"/>
      <c r="M259" s="29"/>
      <c r="N259" s="47"/>
      <c r="O259" s="29"/>
      <c r="P259" s="47"/>
      <c r="Q259" s="29"/>
      <c r="R259" s="60"/>
      <c r="S259" s="29"/>
      <c r="T259" s="29"/>
      <c r="U259" s="61"/>
      <c r="V259" s="62"/>
      <c r="W259" s="49"/>
    </row>
    <row r="260" spans="1:23" ht="11.25" customHeight="1" x14ac:dyDescent="0.3">
      <c r="A260" s="20">
        <f t="shared" si="3"/>
        <v>246</v>
      </c>
      <c r="B260" s="29"/>
      <c r="C260" s="29"/>
      <c r="D260" s="29"/>
      <c r="E260" s="29"/>
      <c r="F260" s="58"/>
      <c r="G260" s="58"/>
      <c r="H260" s="29"/>
      <c r="I260" s="29"/>
      <c r="J260" s="29"/>
      <c r="K260" s="29"/>
      <c r="L260" s="29"/>
      <c r="M260" s="29"/>
      <c r="N260" s="47"/>
      <c r="O260" s="29"/>
      <c r="P260" s="47"/>
      <c r="Q260" s="29"/>
      <c r="R260" s="60"/>
      <c r="S260" s="29"/>
      <c r="T260" s="29"/>
      <c r="U260" s="61"/>
      <c r="V260" s="62"/>
      <c r="W260" s="49"/>
    </row>
    <row r="261" spans="1:23" ht="11.25" customHeight="1" x14ac:dyDescent="0.3">
      <c r="A261" s="20">
        <f t="shared" si="3"/>
        <v>247</v>
      </c>
      <c r="B261" s="29"/>
      <c r="C261" s="29"/>
      <c r="D261" s="29"/>
      <c r="E261" s="29"/>
      <c r="F261" s="58"/>
      <c r="G261" s="58"/>
      <c r="H261" s="29"/>
      <c r="I261" s="29"/>
      <c r="J261" s="29"/>
      <c r="K261" s="29"/>
      <c r="L261" s="29"/>
      <c r="M261" s="29"/>
      <c r="N261" s="47"/>
      <c r="O261" s="29"/>
      <c r="P261" s="29"/>
      <c r="Q261" s="29"/>
      <c r="R261" s="29"/>
      <c r="S261" s="29"/>
      <c r="T261" s="29"/>
      <c r="U261" s="61"/>
      <c r="V261" s="62"/>
      <c r="W261" s="49"/>
    </row>
    <row r="262" spans="1:23" ht="11.25" customHeight="1" x14ac:dyDescent="0.3">
      <c r="A262" s="20">
        <f t="shared" si="3"/>
        <v>248</v>
      </c>
      <c r="B262" s="29"/>
      <c r="C262" s="29"/>
      <c r="D262" s="29"/>
      <c r="E262" s="29"/>
      <c r="F262" s="58"/>
      <c r="G262" s="58"/>
      <c r="H262" s="29"/>
      <c r="I262" s="29"/>
      <c r="J262" s="29"/>
      <c r="K262" s="29"/>
      <c r="L262" s="29"/>
      <c r="M262" s="29"/>
      <c r="N262" s="47"/>
      <c r="O262" s="29"/>
      <c r="P262" s="47"/>
      <c r="Q262" s="29"/>
      <c r="R262" s="60"/>
      <c r="S262" s="29"/>
      <c r="T262" s="29"/>
      <c r="U262" s="61"/>
      <c r="V262" s="62"/>
      <c r="W262" s="49"/>
    </row>
    <row r="263" spans="1:23" ht="11.25" customHeight="1" x14ac:dyDescent="0.3">
      <c r="A263" s="20">
        <f t="shared" si="3"/>
        <v>249</v>
      </c>
      <c r="B263" s="29"/>
      <c r="C263" s="29"/>
      <c r="D263" s="29"/>
      <c r="E263" s="29"/>
      <c r="F263" s="58"/>
      <c r="G263" s="58"/>
      <c r="H263" s="29"/>
      <c r="I263" s="29"/>
      <c r="J263" s="29"/>
      <c r="K263" s="29"/>
      <c r="L263" s="29"/>
      <c r="M263" s="29"/>
      <c r="N263" s="47"/>
      <c r="O263" s="29"/>
      <c r="P263" s="47"/>
      <c r="Q263" s="29"/>
      <c r="R263" s="60"/>
      <c r="S263" s="29"/>
      <c r="T263" s="29"/>
      <c r="U263" s="61"/>
      <c r="V263" s="62"/>
      <c r="W263" s="49"/>
    </row>
    <row r="264" spans="1:23" ht="11.25" customHeight="1" x14ac:dyDescent="0.3">
      <c r="A264" s="20">
        <f t="shared" si="3"/>
        <v>250</v>
      </c>
      <c r="B264" s="29"/>
      <c r="C264" s="29"/>
      <c r="D264" s="29"/>
      <c r="E264" s="29"/>
      <c r="F264" s="58"/>
      <c r="G264" s="58"/>
      <c r="H264" s="29"/>
      <c r="I264" s="29"/>
      <c r="J264" s="29"/>
      <c r="K264" s="29"/>
      <c r="L264" s="29"/>
      <c r="M264" s="29"/>
      <c r="N264" s="47"/>
      <c r="O264" s="29"/>
      <c r="P264" s="29"/>
      <c r="Q264" s="29"/>
      <c r="R264" s="60"/>
      <c r="S264" s="29"/>
      <c r="T264" s="60"/>
      <c r="U264" s="61"/>
      <c r="V264" s="62"/>
      <c r="W264" s="49"/>
    </row>
    <row r="265" spans="1:23" ht="11.25" customHeight="1" x14ac:dyDescent="0.3">
      <c r="A265" s="20">
        <f t="shared" si="3"/>
        <v>251</v>
      </c>
      <c r="B265" s="29"/>
      <c r="C265" s="29"/>
      <c r="D265" s="29"/>
      <c r="E265" s="29"/>
      <c r="F265" s="58"/>
      <c r="G265" s="58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59"/>
      <c r="V265" s="49"/>
      <c r="W265" s="49"/>
    </row>
    <row r="266" spans="1:23" ht="11.25" customHeight="1" x14ac:dyDescent="0.3">
      <c r="A266" s="20">
        <f t="shared" si="3"/>
        <v>252</v>
      </c>
      <c r="B266" s="29"/>
      <c r="C266" s="29"/>
      <c r="D266" s="29"/>
      <c r="E266" s="29"/>
      <c r="F266" s="29"/>
      <c r="G266" s="58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60"/>
      <c r="S266" s="29"/>
      <c r="T266" s="29"/>
      <c r="U266" s="61"/>
      <c r="V266" s="62"/>
      <c r="W266" s="49"/>
    </row>
    <row r="267" spans="1:23" ht="11.25" customHeight="1" x14ac:dyDescent="0.3">
      <c r="A267" s="20">
        <f t="shared" si="3"/>
        <v>253</v>
      </c>
      <c r="B267" s="29"/>
      <c r="C267" s="29"/>
      <c r="D267" s="29"/>
      <c r="E267" s="29"/>
      <c r="F267" s="29"/>
      <c r="G267" s="58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60"/>
      <c r="S267" s="29"/>
      <c r="T267" s="29"/>
      <c r="U267" s="61"/>
      <c r="V267" s="62"/>
      <c r="W267" s="49"/>
    </row>
    <row r="268" spans="1:23" ht="11.25" customHeight="1" x14ac:dyDescent="0.3">
      <c r="A268" s="20">
        <f t="shared" si="3"/>
        <v>254</v>
      </c>
      <c r="B268" s="29"/>
      <c r="C268" s="29"/>
      <c r="D268" s="29"/>
      <c r="E268" s="29"/>
      <c r="F268" s="29"/>
      <c r="G268" s="58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60"/>
      <c r="S268" s="29"/>
      <c r="T268" s="29"/>
      <c r="U268" s="61"/>
      <c r="V268" s="62"/>
      <c r="W268" s="49"/>
    </row>
    <row r="269" spans="1:23" ht="11.25" customHeight="1" x14ac:dyDescent="0.3">
      <c r="A269" s="20">
        <f t="shared" si="3"/>
        <v>255</v>
      </c>
      <c r="B269" s="29"/>
      <c r="C269" s="29"/>
      <c r="D269" s="29"/>
      <c r="E269" s="29"/>
      <c r="F269" s="29"/>
      <c r="G269" s="58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60"/>
      <c r="S269" s="29"/>
      <c r="T269" s="29"/>
      <c r="U269" s="61"/>
      <c r="V269" s="62"/>
      <c r="W269" s="49"/>
    </row>
    <row r="270" spans="1:23" ht="11.25" customHeight="1" x14ac:dyDescent="0.3">
      <c r="A270" s="20">
        <f t="shared" si="3"/>
        <v>256</v>
      </c>
      <c r="B270" s="29"/>
      <c r="C270" s="29"/>
      <c r="D270" s="29"/>
      <c r="E270" s="29"/>
      <c r="F270" s="29"/>
      <c r="G270" s="58"/>
      <c r="H270" s="29"/>
      <c r="I270" s="29"/>
      <c r="J270" s="29"/>
      <c r="K270" s="29"/>
      <c r="L270" s="29"/>
      <c r="M270" s="29"/>
      <c r="N270" s="47"/>
      <c r="O270" s="29"/>
      <c r="P270" s="47"/>
      <c r="Q270" s="29"/>
      <c r="R270" s="60"/>
      <c r="S270" s="29"/>
      <c r="T270" s="29"/>
      <c r="U270" s="61"/>
      <c r="V270" s="62"/>
      <c r="W270" s="49"/>
    </row>
    <row r="271" spans="1:23" ht="11.25" customHeight="1" x14ac:dyDescent="0.3">
      <c r="A271" s="20">
        <f t="shared" si="3"/>
        <v>257</v>
      </c>
      <c r="B271" s="29"/>
      <c r="C271" s="29"/>
      <c r="D271" s="29"/>
      <c r="E271" s="29"/>
      <c r="F271" s="58"/>
      <c r="G271" s="58"/>
      <c r="H271" s="29"/>
      <c r="I271" s="29"/>
      <c r="J271" s="29"/>
      <c r="K271" s="29"/>
      <c r="L271" s="29"/>
      <c r="M271" s="29"/>
      <c r="N271" s="47"/>
      <c r="O271" s="29"/>
      <c r="P271" s="29"/>
      <c r="Q271" s="29"/>
      <c r="R271" s="60"/>
      <c r="S271" s="29"/>
      <c r="T271" s="29"/>
      <c r="U271" s="61"/>
      <c r="V271" s="62"/>
      <c r="W271" s="49"/>
    </row>
    <row r="272" spans="1:23" ht="11.25" customHeight="1" x14ac:dyDescent="0.3">
      <c r="A272" s="20">
        <f t="shared" si="3"/>
        <v>258</v>
      </c>
      <c r="B272" s="29"/>
      <c r="C272" s="29"/>
      <c r="D272" s="29"/>
      <c r="E272" s="29"/>
      <c r="F272" s="58"/>
      <c r="G272" s="58"/>
      <c r="H272" s="29"/>
      <c r="I272" s="29"/>
      <c r="J272" s="29"/>
      <c r="K272" s="29"/>
      <c r="L272" s="29"/>
      <c r="M272" s="29"/>
      <c r="N272" s="47"/>
      <c r="O272" s="29"/>
      <c r="P272" s="47"/>
      <c r="Q272" s="29"/>
      <c r="R272" s="60"/>
      <c r="S272" s="29"/>
      <c r="T272" s="29"/>
      <c r="U272" s="61"/>
      <c r="V272" s="62"/>
      <c r="W272" s="49"/>
    </row>
    <row r="273" spans="1:23" ht="11.25" customHeight="1" x14ac:dyDescent="0.3">
      <c r="A273" s="20">
        <f t="shared" si="3"/>
        <v>259</v>
      </c>
      <c r="B273" s="29"/>
      <c r="C273" s="29"/>
      <c r="D273" s="29"/>
      <c r="E273" s="29"/>
      <c r="F273" s="58"/>
      <c r="G273" s="58"/>
      <c r="H273" s="29"/>
      <c r="I273" s="29"/>
      <c r="J273" s="29"/>
      <c r="K273" s="29"/>
      <c r="L273" s="29"/>
      <c r="M273" s="29"/>
      <c r="N273" s="47"/>
      <c r="O273" s="29"/>
      <c r="P273" s="47"/>
      <c r="Q273" s="29"/>
      <c r="R273" s="60"/>
      <c r="S273" s="29"/>
      <c r="T273" s="29"/>
      <c r="U273" s="61"/>
      <c r="V273" s="62"/>
      <c r="W273" s="49"/>
    </row>
    <row r="274" spans="1:23" ht="11.25" customHeight="1" x14ac:dyDescent="0.3">
      <c r="A274" s="20">
        <f t="shared" ref="A274:A335" si="4">ROW()-14</f>
        <v>260</v>
      </c>
      <c r="B274" s="29"/>
      <c r="C274" s="29"/>
      <c r="D274" s="29"/>
      <c r="E274" s="29"/>
      <c r="F274" s="58"/>
      <c r="G274" s="58"/>
      <c r="H274" s="29"/>
      <c r="I274" s="29"/>
      <c r="J274" s="29"/>
      <c r="K274" s="29"/>
      <c r="L274" s="29"/>
      <c r="M274" s="29"/>
      <c r="N274" s="47"/>
      <c r="O274" s="29"/>
      <c r="P274" s="29"/>
      <c r="Q274" s="29"/>
      <c r="R274" s="60"/>
      <c r="S274" s="29"/>
      <c r="T274" s="29"/>
      <c r="U274" s="61"/>
      <c r="V274" s="62"/>
      <c r="W274" s="49"/>
    </row>
    <row r="275" spans="1:23" ht="11.25" customHeight="1" x14ac:dyDescent="0.3">
      <c r="A275" s="20">
        <f t="shared" si="4"/>
        <v>261</v>
      </c>
      <c r="B275" s="29"/>
      <c r="C275" s="29"/>
      <c r="D275" s="29"/>
      <c r="E275" s="29"/>
      <c r="F275" s="58"/>
      <c r="G275" s="58"/>
      <c r="H275" s="29"/>
      <c r="I275" s="29"/>
      <c r="J275" s="29"/>
      <c r="K275" s="29"/>
      <c r="L275" s="29"/>
      <c r="M275" s="29"/>
      <c r="N275" s="47"/>
      <c r="O275" s="29"/>
      <c r="P275" s="47"/>
      <c r="Q275" s="29"/>
      <c r="R275" s="60"/>
      <c r="S275" s="29"/>
      <c r="T275" s="29"/>
      <c r="U275" s="61"/>
      <c r="V275" s="62"/>
      <c r="W275" s="49"/>
    </row>
    <row r="276" spans="1:23" ht="11.25" customHeight="1" x14ac:dyDescent="0.3">
      <c r="A276" s="20">
        <f t="shared" si="4"/>
        <v>262</v>
      </c>
      <c r="B276" s="29"/>
      <c r="C276" s="29"/>
      <c r="D276" s="29"/>
      <c r="E276" s="29"/>
      <c r="F276" s="58"/>
      <c r="G276" s="58"/>
      <c r="H276" s="29"/>
      <c r="I276" s="29"/>
      <c r="J276" s="29"/>
      <c r="K276" s="29"/>
      <c r="L276" s="29"/>
      <c r="M276" s="29"/>
      <c r="N276" s="47"/>
      <c r="O276" s="29"/>
      <c r="P276" s="29"/>
      <c r="Q276" s="29"/>
      <c r="R276" s="60"/>
      <c r="S276" s="29"/>
      <c r="T276" s="29"/>
      <c r="U276" s="61"/>
      <c r="V276" s="62"/>
      <c r="W276" s="49"/>
    </row>
    <row r="277" spans="1:23" ht="11.25" customHeight="1" x14ac:dyDescent="0.3">
      <c r="A277" s="20">
        <f t="shared" si="4"/>
        <v>263</v>
      </c>
      <c r="B277" s="29"/>
      <c r="C277" s="29"/>
      <c r="D277" s="29"/>
      <c r="E277" s="29"/>
      <c r="F277" s="58"/>
      <c r="G277" s="58"/>
      <c r="H277" s="29"/>
      <c r="I277" s="29"/>
      <c r="J277" s="29"/>
      <c r="K277" s="29"/>
      <c r="L277" s="29"/>
      <c r="M277" s="29"/>
      <c r="N277" s="47"/>
      <c r="O277" s="29"/>
      <c r="P277" s="47"/>
      <c r="Q277" s="29"/>
      <c r="R277" s="60"/>
      <c r="S277" s="29"/>
      <c r="T277" s="29"/>
      <c r="U277" s="61"/>
      <c r="V277" s="62"/>
      <c r="W277" s="49"/>
    </row>
    <row r="278" spans="1:23" ht="11.25" customHeight="1" x14ac:dyDescent="0.3">
      <c r="A278" s="20">
        <f t="shared" si="4"/>
        <v>264</v>
      </c>
      <c r="B278" s="29"/>
      <c r="C278" s="29"/>
      <c r="D278" s="29"/>
      <c r="E278" s="29"/>
      <c r="F278" s="58"/>
      <c r="G278" s="58"/>
      <c r="H278" s="29"/>
      <c r="I278" s="29"/>
      <c r="J278" s="29"/>
      <c r="K278" s="29"/>
      <c r="L278" s="29"/>
      <c r="M278" s="29"/>
      <c r="N278" s="47"/>
      <c r="O278" s="29"/>
      <c r="P278" s="47"/>
      <c r="Q278" s="29"/>
      <c r="R278" s="60"/>
      <c r="S278" s="29"/>
      <c r="T278" s="29"/>
      <c r="U278" s="61"/>
      <c r="V278" s="62"/>
      <c r="W278" s="49"/>
    </row>
    <row r="279" spans="1:23" ht="11.25" customHeight="1" x14ac:dyDescent="0.3">
      <c r="A279" s="20">
        <f t="shared" si="4"/>
        <v>265</v>
      </c>
      <c r="B279" s="29"/>
      <c r="C279" s="29"/>
      <c r="D279" s="29"/>
      <c r="E279" s="29"/>
      <c r="F279" s="58"/>
      <c r="G279" s="58"/>
      <c r="H279" s="29"/>
      <c r="I279" s="29"/>
      <c r="J279" s="29"/>
      <c r="K279" s="29"/>
      <c r="L279" s="29"/>
      <c r="M279" s="29"/>
      <c r="N279" s="47"/>
      <c r="O279" s="29"/>
      <c r="P279" s="47"/>
      <c r="Q279" s="29"/>
      <c r="R279" s="60"/>
      <c r="S279" s="29"/>
      <c r="T279" s="29"/>
      <c r="U279" s="61"/>
      <c r="V279" s="62"/>
      <c r="W279" s="49"/>
    </row>
    <row r="280" spans="1:23" ht="11.25" customHeight="1" x14ac:dyDescent="0.3">
      <c r="A280" s="20">
        <f t="shared" si="4"/>
        <v>266</v>
      </c>
      <c r="B280" s="29"/>
      <c r="C280" s="29"/>
      <c r="D280" s="29"/>
      <c r="E280" s="29"/>
      <c r="F280" s="58"/>
      <c r="G280" s="58"/>
      <c r="H280" s="29"/>
      <c r="I280" s="29"/>
      <c r="J280" s="29"/>
      <c r="K280" s="29"/>
      <c r="L280" s="29"/>
      <c r="M280" s="29"/>
      <c r="N280" s="47"/>
      <c r="O280" s="29"/>
      <c r="P280" s="29"/>
      <c r="Q280" s="29"/>
      <c r="R280" s="60"/>
      <c r="S280" s="29"/>
      <c r="T280" s="60"/>
      <c r="U280" s="61"/>
      <c r="V280" s="62"/>
      <c r="W280" s="49"/>
    </row>
    <row r="281" spans="1:23" ht="11.25" customHeight="1" x14ac:dyDescent="0.3">
      <c r="A281" s="20">
        <f t="shared" si="4"/>
        <v>267</v>
      </c>
      <c r="B281" s="29"/>
      <c r="C281" s="29"/>
      <c r="D281" s="29"/>
      <c r="E281" s="29"/>
      <c r="F281" s="58"/>
      <c r="G281" s="58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59"/>
      <c r="V281" s="49"/>
      <c r="W281" s="49"/>
    </row>
    <row r="282" spans="1:23" ht="11.25" customHeight="1" x14ac:dyDescent="0.3">
      <c r="A282" s="20">
        <f t="shared" si="4"/>
        <v>268</v>
      </c>
      <c r="B282" s="29"/>
      <c r="C282" s="29"/>
      <c r="D282" s="29"/>
      <c r="E282" s="29"/>
      <c r="F282" s="29"/>
      <c r="G282" s="58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60"/>
      <c r="S282" s="29"/>
      <c r="T282" s="29"/>
      <c r="U282" s="61"/>
      <c r="V282" s="62"/>
      <c r="W282" s="49"/>
    </row>
    <row r="283" spans="1:23" ht="11.25" customHeight="1" x14ac:dyDescent="0.3">
      <c r="A283" s="20">
        <f t="shared" si="4"/>
        <v>269</v>
      </c>
      <c r="B283" s="29"/>
      <c r="C283" s="29"/>
      <c r="D283" s="29"/>
      <c r="E283" s="29"/>
      <c r="F283" s="29"/>
      <c r="G283" s="58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60"/>
      <c r="S283" s="29"/>
      <c r="T283" s="29"/>
      <c r="U283" s="61"/>
      <c r="V283" s="62"/>
      <c r="W283" s="49"/>
    </row>
    <row r="284" spans="1:23" ht="11.25" customHeight="1" x14ac:dyDescent="0.3">
      <c r="A284" s="20">
        <f t="shared" si="4"/>
        <v>270</v>
      </c>
      <c r="B284" s="29"/>
      <c r="C284" s="29"/>
      <c r="D284" s="29"/>
      <c r="E284" s="29"/>
      <c r="F284" s="29"/>
      <c r="G284" s="58"/>
      <c r="H284" s="29"/>
      <c r="I284" s="29"/>
      <c r="J284" s="29"/>
      <c r="K284" s="29"/>
      <c r="L284" s="29"/>
      <c r="M284" s="29"/>
      <c r="N284" s="47"/>
      <c r="O284" s="29"/>
      <c r="P284" s="47"/>
      <c r="Q284" s="29"/>
      <c r="R284" s="60"/>
      <c r="S284" s="29"/>
      <c r="T284" s="29"/>
      <c r="U284" s="61"/>
      <c r="V284" s="62"/>
      <c r="W284" s="49"/>
    </row>
    <row r="285" spans="1:23" ht="11.25" customHeight="1" x14ac:dyDescent="0.3">
      <c r="A285" s="20">
        <f t="shared" si="4"/>
        <v>271</v>
      </c>
      <c r="B285" s="29"/>
      <c r="C285" s="29"/>
      <c r="D285" s="29"/>
      <c r="E285" s="29"/>
      <c r="F285" s="58"/>
      <c r="G285" s="58"/>
      <c r="H285" s="29"/>
      <c r="I285" s="29"/>
      <c r="J285" s="29"/>
      <c r="K285" s="29"/>
      <c r="L285" s="29"/>
      <c r="M285" s="29"/>
      <c r="N285" s="47"/>
      <c r="O285" s="29"/>
      <c r="P285" s="29"/>
      <c r="Q285" s="29"/>
      <c r="R285" s="60"/>
      <c r="S285" s="29"/>
      <c r="T285" s="29"/>
      <c r="U285" s="61"/>
      <c r="V285" s="62"/>
      <c r="W285" s="49"/>
    </row>
    <row r="286" spans="1:23" ht="11.25" customHeight="1" x14ac:dyDescent="0.3">
      <c r="A286" s="20">
        <f t="shared" si="4"/>
        <v>272</v>
      </c>
      <c r="B286" s="29"/>
      <c r="C286" s="29"/>
      <c r="D286" s="29"/>
      <c r="E286" s="29"/>
      <c r="F286" s="58"/>
      <c r="G286" s="58"/>
      <c r="H286" s="29"/>
      <c r="I286" s="29"/>
      <c r="J286" s="29"/>
      <c r="K286" s="29"/>
      <c r="L286" s="29"/>
      <c r="M286" s="29"/>
      <c r="N286" s="47"/>
      <c r="O286" s="29"/>
      <c r="P286" s="47"/>
      <c r="Q286" s="29"/>
      <c r="R286" s="60"/>
      <c r="S286" s="29"/>
      <c r="T286" s="29"/>
      <c r="U286" s="61"/>
      <c r="V286" s="62"/>
      <c r="W286" s="49"/>
    </row>
    <row r="287" spans="1:23" ht="11.25" customHeight="1" x14ac:dyDescent="0.3">
      <c r="A287" s="20">
        <f t="shared" si="4"/>
        <v>273</v>
      </c>
      <c r="B287" s="29"/>
      <c r="C287" s="29"/>
      <c r="D287" s="29"/>
      <c r="E287" s="29"/>
      <c r="F287" s="58"/>
      <c r="G287" s="58"/>
      <c r="H287" s="29"/>
      <c r="I287" s="29"/>
      <c r="J287" s="29"/>
      <c r="K287" s="29"/>
      <c r="L287" s="29"/>
      <c r="M287" s="29"/>
      <c r="N287" s="47"/>
      <c r="O287" s="29"/>
      <c r="P287" s="47"/>
      <c r="Q287" s="29"/>
      <c r="R287" s="60"/>
      <c r="S287" s="29"/>
      <c r="T287" s="29"/>
      <c r="U287" s="61"/>
      <c r="V287" s="62"/>
      <c r="W287" s="49"/>
    </row>
    <row r="288" spans="1:23" ht="11.25" customHeight="1" x14ac:dyDescent="0.3">
      <c r="A288" s="20">
        <f t="shared" si="4"/>
        <v>274</v>
      </c>
      <c r="B288" s="29"/>
      <c r="C288" s="29"/>
      <c r="D288" s="29"/>
      <c r="E288" s="29"/>
      <c r="F288" s="58"/>
      <c r="G288" s="58"/>
      <c r="H288" s="29"/>
      <c r="I288" s="29"/>
      <c r="J288" s="29"/>
      <c r="K288" s="29"/>
      <c r="L288" s="29"/>
      <c r="M288" s="29"/>
      <c r="N288" s="47"/>
      <c r="O288" s="29"/>
      <c r="P288" s="29"/>
      <c r="Q288" s="29"/>
      <c r="R288" s="60"/>
      <c r="S288" s="29"/>
      <c r="T288" s="29"/>
      <c r="U288" s="61"/>
      <c r="V288" s="62"/>
      <c r="W288" s="49"/>
    </row>
    <row r="289" spans="1:23" ht="11.25" customHeight="1" x14ac:dyDescent="0.3">
      <c r="A289" s="20">
        <f t="shared" si="4"/>
        <v>275</v>
      </c>
      <c r="B289" s="29"/>
      <c r="C289" s="29"/>
      <c r="D289" s="29"/>
      <c r="E289" s="29"/>
      <c r="F289" s="58"/>
      <c r="G289" s="58"/>
      <c r="H289" s="29"/>
      <c r="I289" s="29"/>
      <c r="J289" s="29"/>
      <c r="K289" s="29"/>
      <c r="L289" s="29"/>
      <c r="M289" s="29"/>
      <c r="N289" s="47"/>
      <c r="O289" s="29"/>
      <c r="P289" s="29"/>
      <c r="Q289" s="29"/>
      <c r="R289" s="29"/>
      <c r="S289" s="29"/>
      <c r="T289" s="29"/>
      <c r="U289" s="59"/>
      <c r="V289" s="49"/>
      <c r="W289" s="49"/>
    </row>
    <row r="290" spans="1:23" ht="11.25" customHeight="1" x14ac:dyDescent="0.3">
      <c r="A290" s="20">
        <f t="shared" si="4"/>
        <v>276</v>
      </c>
      <c r="B290" s="29"/>
      <c r="C290" s="29"/>
      <c r="D290" s="29"/>
      <c r="E290" s="29"/>
      <c r="F290" s="58"/>
      <c r="G290" s="58"/>
      <c r="H290" s="29"/>
      <c r="I290" s="29"/>
      <c r="J290" s="29"/>
      <c r="K290" s="29"/>
      <c r="L290" s="29"/>
      <c r="M290" s="29"/>
      <c r="N290" s="47"/>
      <c r="O290" s="29"/>
      <c r="P290" s="29"/>
      <c r="Q290" s="29"/>
      <c r="R290" s="29"/>
      <c r="S290" s="29"/>
      <c r="T290" s="29"/>
      <c r="U290" s="59"/>
      <c r="V290" s="49"/>
      <c r="W290" s="49"/>
    </row>
    <row r="291" spans="1:23" ht="11.25" customHeight="1" x14ac:dyDescent="0.3">
      <c r="A291" s="20">
        <f t="shared" si="4"/>
        <v>277</v>
      </c>
      <c r="B291" s="29"/>
      <c r="C291" s="29"/>
      <c r="D291" s="29"/>
      <c r="E291" s="29"/>
      <c r="F291" s="58"/>
      <c r="G291" s="58"/>
      <c r="H291" s="29"/>
      <c r="I291" s="29"/>
      <c r="J291" s="29"/>
      <c r="K291" s="29"/>
      <c r="L291" s="29"/>
      <c r="M291" s="29"/>
      <c r="N291" s="47"/>
      <c r="O291" s="29"/>
      <c r="P291" s="47"/>
      <c r="Q291" s="29"/>
      <c r="R291" s="60"/>
      <c r="S291" s="29"/>
      <c r="T291" s="29"/>
      <c r="U291" s="61"/>
      <c r="V291" s="62"/>
      <c r="W291" s="49"/>
    </row>
    <row r="292" spans="1:23" ht="11.25" customHeight="1" x14ac:dyDescent="0.3">
      <c r="A292" s="20">
        <f t="shared" si="4"/>
        <v>278</v>
      </c>
      <c r="B292" s="29"/>
      <c r="C292" s="29"/>
      <c r="D292" s="29"/>
      <c r="E292" s="29"/>
      <c r="F292" s="58"/>
      <c r="G292" s="58"/>
      <c r="H292" s="29"/>
      <c r="I292" s="29"/>
      <c r="J292" s="29"/>
      <c r="K292" s="29"/>
      <c r="L292" s="29"/>
      <c r="M292" s="29"/>
      <c r="N292" s="47"/>
      <c r="O292" s="29"/>
      <c r="P292" s="47"/>
      <c r="Q292" s="29"/>
      <c r="R292" s="60"/>
      <c r="S292" s="29"/>
      <c r="T292" s="29"/>
      <c r="U292" s="61"/>
      <c r="V292" s="62"/>
      <c r="W292" s="49"/>
    </row>
    <row r="293" spans="1:23" ht="11.25" customHeight="1" x14ac:dyDescent="0.3">
      <c r="A293" s="20">
        <f t="shared" si="4"/>
        <v>279</v>
      </c>
      <c r="B293" s="29"/>
      <c r="C293" s="29"/>
      <c r="D293" s="29"/>
      <c r="E293" s="29"/>
      <c r="F293" s="58"/>
      <c r="G293" s="58"/>
      <c r="H293" s="29"/>
      <c r="I293" s="29"/>
      <c r="J293" s="29"/>
      <c r="K293" s="29"/>
      <c r="L293" s="29"/>
      <c r="M293" s="29"/>
      <c r="N293" s="47"/>
      <c r="O293" s="29"/>
      <c r="P293" s="47"/>
      <c r="Q293" s="29"/>
      <c r="R293" s="60"/>
      <c r="S293" s="29"/>
      <c r="T293" s="29"/>
      <c r="U293" s="61"/>
      <c r="V293" s="62"/>
      <c r="W293" s="49"/>
    </row>
    <row r="294" spans="1:23" ht="11.25" customHeight="1" x14ac:dyDescent="0.3">
      <c r="A294" s="20">
        <f t="shared" si="4"/>
        <v>280</v>
      </c>
      <c r="B294" s="29"/>
      <c r="C294" s="29"/>
      <c r="D294" s="29"/>
      <c r="E294" s="29"/>
      <c r="F294" s="58"/>
      <c r="G294" s="58"/>
      <c r="H294" s="29"/>
      <c r="I294" s="29"/>
      <c r="J294" s="29"/>
      <c r="K294" s="29"/>
      <c r="L294" s="29"/>
      <c r="M294" s="29"/>
      <c r="N294" s="47"/>
      <c r="O294" s="29"/>
      <c r="P294" s="29"/>
      <c r="Q294" s="29"/>
      <c r="R294" s="60"/>
      <c r="S294" s="29"/>
      <c r="T294" s="60"/>
      <c r="U294" s="61"/>
      <c r="V294" s="62"/>
      <c r="W294" s="49"/>
    </row>
    <row r="295" spans="1:23" ht="11.25" customHeight="1" x14ac:dyDescent="0.3">
      <c r="A295" s="20">
        <f t="shared" si="4"/>
        <v>281</v>
      </c>
      <c r="B295" s="29"/>
      <c r="C295" s="29"/>
      <c r="D295" s="29"/>
      <c r="E295" s="29"/>
      <c r="F295" s="58"/>
      <c r="G295" s="58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59"/>
      <c r="V295" s="49"/>
      <c r="W295" s="49"/>
    </row>
    <row r="296" spans="1:23" ht="11.25" customHeight="1" x14ac:dyDescent="0.3">
      <c r="A296" s="20">
        <f t="shared" si="4"/>
        <v>282</v>
      </c>
      <c r="B296" s="29"/>
      <c r="C296" s="29"/>
      <c r="D296" s="29"/>
      <c r="E296" s="29"/>
      <c r="F296" s="29"/>
      <c r="G296" s="58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60"/>
      <c r="S296" s="29"/>
      <c r="T296" s="29"/>
      <c r="U296" s="61"/>
      <c r="V296" s="62"/>
      <c r="W296" s="49"/>
    </row>
    <row r="297" spans="1:23" ht="11.25" customHeight="1" x14ac:dyDescent="0.3">
      <c r="A297" s="20">
        <f t="shared" si="4"/>
        <v>283</v>
      </c>
      <c r="B297" s="29"/>
      <c r="C297" s="29"/>
      <c r="D297" s="29"/>
      <c r="E297" s="29"/>
      <c r="F297" s="29"/>
      <c r="G297" s="58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60"/>
      <c r="S297" s="29"/>
      <c r="T297" s="29"/>
      <c r="U297" s="61"/>
      <c r="V297" s="62"/>
      <c r="W297" s="49"/>
    </row>
    <row r="298" spans="1:23" ht="11.25" customHeight="1" x14ac:dyDescent="0.3">
      <c r="A298" s="20">
        <f t="shared" si="4"/>
        <v>284</v>
      </c>
      <c r="B298" s="29"/>
      <c r="C298" s="29"/>
      <c r="D298" s="29"/>
      <c r="E298" s="29"/>
      <c r="F298" s="29"/>
      <c r="G298" s="58"/>
      <c r="H298" s="29"/>
      <c r="I298" s="29"/>
      <c r="J298" s="29"/>
      <c r="K298" s="29"/>
      <c r="L298" s="29"/>
      <c r="M298" s="29"/>
      <c r="N298" s="47"/>
      <c r="O298" s="29"/>
      <c r="P298" s="47"/>
      <c r="Q298" s="29"/>
      <c r="R298" s="60"/>
      <c r="S298" s="29"/>
      <c r="T298" s="29"/>
      <c r="U298" s="61"/>
      <c r="V298" s="62"/>
      <c r="W298" s="49"/>
    </row>
    <row r="299" spans="1:23" ht="11.25" customHeight="1" x14ac:dyDescent="0.3">
      <c r="A299" s="20">
        <f t="shared" si="4"/>
        <v>285</v>
      </c>
      <c r="B299" s="29"/>
      <c r="C299" s="29"/>
      <c r="D299" s="29"/>
      <c r="E299" s="29"/>
      <c r="F299" s="58"/>
      <c r="G299" s="58"/>
      <c r="H299" s="29"/>
      <c r="I299" s="29"/>
      <c r="J299" s="29"/>
      <c r="K299" s="29"/>
      <c r="L299" s="29"/>
      <c r="M299" s="29"/>
      <c r="N299" s="47"/>
      <c r="O299" s="29"/>
      <c r="P299" s="29"/>
      <c r="Q299" s="29"/>
      <c r="R299" s="60"/>
      <c r="S299" s="29"/>
      <c r="T299" s="29"/>
      <c r="U299" s="61"/>
      <c r="V299" s="62"/>
      <c r="W299" s="49"/>
    </row>
    <row r="300" spans="1:23" ht="11.25" customHeight="1" x14ac:dyDescent="0.3">
      <c r="A300" s="20">
        <f t="shared" si="4"/>
        <v>286</v>
      </c>
      <c r="B300" s="29"/>
      <c r="C300" s="29"/>
      <c r="D300" s="29"/>
      <c r="E300" s="29"/>
      <c r="F300" s="58"/>
      <c r="G300" s="58"/>
      <c r="H300" s="29"/>
      <c r="I300" s="29"/>
      <c r="J300" s="29"/>
      <c r="K300" s="29"/>
      <c r="L300" s="29"/>
      <c r="M300" s="29"/>
      <c r="N300" s="47"/>
      <c r="O300" s="29"/>
      <c r="P300" s="47"/>
      <c r="Q300" s="29"/>
      <c r="R300" s="60"/>
      <c r="S300" s="29"/>
      <c r="T300" s="29"/>
      <c r="U300" s="61"/>
      <c r="V300" s="62"/>
      <c r="W300" s="49"/>
    </row>
    <row r="301" spans="1:23" ht="11.25" customHeight="1" x14ac:dyDescent="0.3">
      <c r="A301" s="20">
        <f t="shared" si="4"/>
        <v>287</v>
      </c>
      <c r="B301" s="29"/>
      <c r="C301" s="29"/>
      <c r="D301" s="29"/>
      <c r="E301" s="29"/>
      <c r="F301" s="58"/>
      <c r="G301" s="58"/>
      <c r="H301" s="29"/>
      <c r="I301" s="29"/>
      <c r="J301" s="29"/>
      <c r="K301" s="29"/>
      <c r="L301" s="29"/>
      <c r="M301" s="29"/>
      <c r="N301" s="47"/>
      <c r="O301" s="29"/>
      <c r="P301" s="47"/>
      <c r="Q301" s="29"/>
      <c r="R301" s="60"/>
      <c r="S301" s="29"/>
      <c r="T301" s="29"/>
      <c r="U301" s="61"/>
      <c r="V301" s="62"/>
      <c r="W301" s="49"/>
    </row>
    <row r="302" spans="1:23" ht="11.25" customHeight="1" x14ac:dyDescent="0.3">
      <c r="A302" s="20">
        <f t="shared" si="4"/>
        <v>288</v>
      </c>
      <c r="B302" s="29"/>
      <c r="C302" s="29"/>
      <c r="D302" s="29"/>
      <c r="E302" s="29"/>
      <c r="F302" s="58"/>
      <c r="G302" s="58"/>
      <c r="H302" s="29"/>
      <c r="I302" s="29"/>
      <c r="J302" s="29"/>
      <c r="K302" s="29"/>
      <c r="L302" s="29"/>
      <c r="M302" s="29"/>
      <c r="N302" s="47"/>
      <c r="O302" s="29"/>
      <c r="P302" s="29"/>
      <c r="Q302" s="29"/>
      <c r="R302" s="60"/>
      <c r="S302" s="29"/>
      <c r="T302" s="29"/>
      <c r="U302" s="61"/>
      <c r="V302" s="62"/>
      <c r="W302" s="49"/>
    </row>
    <row r="303" spans="1:23" ht="11.25" customHeight="1" x14ac:dyDescent="0.3">
      <c r="A303" s="20">
        <f t="shared" si="4"/>
        <v>289</v>
      </c>
      <c r="B303" s="29"/>
      <c r="C303" s="29"/>
      <c r="D303" s="29"/>
      <c r="E303" s="29"/>
      <c r="F303" s="58"/>
      <c r="G303" s="58"/>
      <c r="H303" s="29"/>
      <c r="I303" s="29"/>
      <c r="J303" s="29"/>
      <c r="K303" s="29"/>
      <c r="L303" s="29"/>
      <c r="M303" s="29"/>
      <c r="N303" s="47"/>
      <c r="O303" s="29"/>
      <c r="P303" s="47"/>
      <c r="Q303" s="29"/>
      <c r="R303" s="60"/>
      <c r="S303" s="29"/>
      <c r="T303" s="29"/>
      <c r="U303" s="61"/>
      <c r="V303" s="62"/>
      <c r="W303" s="49"/>
    </row>
    <row r="304" spans="1:23" ht="11.25" customHeight="1" x14ac:dyDescent="0.3">
      <c r="A304" s="20">
        <f t="shared" si="4"/>
        <v>290</v>
      </c>
      <c r="B304" s="29"/>
      <c r="C304" s="29"/>
      <c r="D304" s="29"/>
      <c r="E304" s="29"/>
      <c r="F304" s="58"/>
      <c r="G304" s="58"/>
      <c r="H304" s="29"/>
      <c r="I304" s="29"/>
      <c r="J304" s="29"/>
      <c r="K304" s="29"/>
      <c r="L304" s="29"/>
      <c r="M304" s="29"/>
      <c r="N304" s="47"/>
      <c r="O304" s="29"/>
      <c r="P304" s="47"/>
      <c r="Q304" s="29"/>
      <c r="R304" s="60"/>
      <c r="S304" s="29"/>
      <c r="T304" s="29"/>
      <c r="U304" s="61"/>
      <c r="V304" s="62"/>
      <c r="W304" s="49"/>
    </row>
    <row r="305" spans="1:23" ht="11.25" customHeight="1" x14ac:dyDescent="0.3">
      <c r="A305" s="20">
        <f t="shared" si="4"/>
        <v>291</v>
      </c>
      <c r="B305" s="29"/>
      <c r="C305" s="29"/>
      <c r="D305" s="29"/>
      <c r="E305" s="29"/>
      <c r="F305" s="58"/>
      <c r="G305" s="58"/>
      <c r="H305" s="29"/>
      <c r="I305" s="29"/>
      <c r="J305" s="29"/>
      <c r="K305" s="29"/>
      <c r="L305" s="29"/>
      <c r="M305" s="29"/>
      <c r="N305" s="47"/>
      <c r="O305" s="29"/>
      <c r="P305" s="29"/>
      <c r="Q305" s="29"/>
      <c r="R305" s="29"/>
      <c r="S305" s="29"/>
      <c r="T305" s="29"/>
      <c r="U305" s="61"/>
      <c r="V305" s="62"/>
      <c r="W305" s="49"/>
    </row>
    <row r="306" spans="1:23" ht="11.25" customHeight="1" x14ac:dyDescent="0.3">
      <c r="A306" s="20">
        <f t="shared" si="4"/>
        <v>292</v>
      </c>
      <c r="B306" s="29"/>
      <c r="C306" s="29"/>
      <c r="D306" s="29"/>
      <c r="E306" s="29"/>
      <c r="F306" s="58"/>
      <c r="G306" s="58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59"/>
      <c r="V306" s="49"/>
      <c r="W306" s="49"/>
    </row>
    <row r="307" spans="1:23" ht="11.25" customHeight="1" x14ac:dyDescent="0.3">
      <c r="A307" s="20">
        <f t="shared" si="4"/>
        <v>293</v>
      </c>
      <c r="B307" s="29"/>
      <c r="C307" s="29"/>
      <c r="D307" s="29"/>
      <c r="E307" s="29"/>
      <c r="F307" s="58"/>
      <c r="G307" s="58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59"/>
      <c r="V307" s="49"/>
      <c r="W307" s="49"/>
    </row>
    <row r="308" spans="1:23" ht="11.25" customHeight="1" x14ac:dyDescent="0.3">
      <c r="A308" s="20">
        <f t="shared" si="4"/>
        <v>294</v>
      </c>
      <c r="B308" s="29"/>
      <c r="C308" s="29"/>
      <c r="D308" s="29"/>
      <c r="E308" s="29"/>
      <c r="F308" s="58"/>
      <c r="G308" s="58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59"/>
      <c r="V308" s="49"/>
      <c r="W308" s="49"/>
    </row>
    <row r="309" spans="1:23" ht="11.25" customHeight="1" x14ac:dyDescent="0.3">
      <c r="A309" s="20">
        <f t="shared" si="4"/>
        <v>295</v>
      </c>
      <c r="B309" s="29"/>
      <c r="C309" s="29"/>
      <c r="D309" s="29"/>
      <c r="E309" s="29"/>
      <c r="F309" s="58"/>
      <c r="G309" s="58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59"/>
      <c r="V309" s="49"/>
      <c r="W309" s="49"/>
    </row>
    <row r="310" spans="1:23" ht="11.25" customHeight="1" x14ac:dyDescent="0.3">
      <c r="A310" s="20">
        <f t="shared" si="4"/>
        <v>296</v>
      </c>
      <c r="B310" s="29"/>
      <c r="C310" s="29"/>
      <c r="D310" s="29"/>
      <c r="E310" s="29"/>
      <c r="F310" s="58"/>
      <c r="G310" s="58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59"/>
      <c r="V310" s="49"/>
      <c r="W310" s="49"/>
    </row>
    <row r="311" spans="1:23" ht="11.25" customHeight="1" x14ac:dyDescent="0.3">
      <c r="A311" s="20">
        <f t="shared" si="4"/>
        <v>297</v>
      </c>
      <c r="B311" s="29"/>
      <c r="C311" s="29"/>
      <c r="D311" s="29"/>
      <c r="E311" s="29"/>
      <c r="F311" s="58"/>
      <c r="G311" s="58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59"/>
      <c r="V311" s="49"/>
      <c r="W311" s="49"/>
    </row>
    <row r="312" spans="1:23" ht="11.25" customHeight="1" x14ac:dyDescent="0.3">
      <c r="A312" s="20">
        <f t="shared" si="4"/>
        <v>298</v>
      </c>
      <c r="B312" s="29"/>
      <c r="C312" s="29"/>
      <c r="D312" s="29"/>
      <c r="E312" s="29"/>
      <c r="F312" s="58"/>
      <c r="G312" s="58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59"/>
      <c r="V312" s="49"/>
      <c r="W312" s="49"/>
    </row>
    <row r="313" spans="1:23" ht="11.25" customHeight="1" x14ac:dyDescent="0.3">
      <c r="A313" s="20">
        <f t="shared" si="4"/>
        <v>299</v>
      </c>
      <c r="B313" s="29"/>
      <c r="C313" s="29"/>
      <c r="D313" s="29"/>
      <c r="E313" s="29"/>
      <c r="F313" s="58"/>
      <c r="G313" s="58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59"/>
      <c r="V313" s="49"/>
      <c r="W313" s="49"/>
    </row>
    <row r="314" spans="1:23" ht="11.25" customHeight="1" x14ac:dyDescent="0.3">
      <c r="A314" s="20">
        <f t="shared" si="4"/>
        <v>300</v>
      </c>
      <c r="B314" s="29"/>
      <c r="C314" s="29"/>
      <c r="D314" s="29"/>
      <c r="E314" s="29"/>
      <c r="F314" s="58"/>
      <c r="G314" s="58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59"/>
      <c r="V314" s="49"/>
      <c r="W314" s="49"/>
    </row>
    <row r="315" spans="1:23" ht="11.25" customHeight="1" x14ac:dyDescent="0.3">
      <c r="A315" s="20">
        <f t="shared" si="4"/>
        <v>301</v>
      </c>
      <c r="B315" s="29"/>
      <c r="C315" s="29"/>
      <c r="D315" s="29"/>
      <c r="E315" s="29"/>
      <c r="F315" s="58"/>
      <c r="G315" s="58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59"/>
      <c r="V315" s="49"/>
      <c r="W315" s="49"/>
    </row>
    <row r="316" spans="1:23" ht="11.25" customHeight="1" x14ac:dyDescent="0.3">
      <c r="A316" s="20">
        <f t="shared" si="4"/>
        <v>302</v>
      </c>
      <c r="B316" s="29"/>
      <c r="C316" s="29"/>
      <c r="D316" s="29"/>
      <c r="E316" s="29"/>
      <c r="F316" s="58"/>
      <c r="G316" s="58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59"/>
      <c r="V316" s="49"/>
      <c r="W316" s="49"/>
    </row>
    <row r="317" spans="1:23" ht="11.25" customHeight="1" x14ac:dyDescent="0.3">
      <c r="A317" s="20">
        <f t="shared" si="4"/>
        <v>303</v>
      </c>
      <c r="B317" s="29"/>
      <c r="C317" s="29"/>
      <c r="D317" s="29"/>
      <c r="E317" s="29"/>
      <c r="F317" s="58"/>
      <c r="G317" s="58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59"/>
      <c r="V317" s="49"/>
      <c r="W317" s="49"/>
    </row>
    <row r="318" spans="1:23" ht="11.25" customHeight="1" x14ac:dyDescent="0.3">
      <c r="A318" s="20">
        <f t="shared" si="4"/>
        <v>304</v>
      </c>
      <c r="B318" s="29"/>
      <c r="C318" s="29"/>
      <c r="D318" s="29"/>
      <c r="E318" s="29"/>
      <c r="F318" s="58"/>
      <c r="G318" s="58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59"/>
      <c r="V318" s="49"/>
      <c r="W318" s="49"/>
    </row>
    <row r="319" spans="1:23" ht="11.25" customHeight="1" x14ac:dyDescent="0.3">
      <c r="A319" s="20">
        <f t="shared" si="4"/>
        <v>305</v>
      </c>
      <c r="B319" s="29"/>
      <c r="C319" s="29"/>
      <c r="D319" s="29"/>
      <c r="E319" s="29"/>
      <c r="F319" s="58"/>
      <c r="G319" s="58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59"/>
      <c r="V319" s="49"/>
      <c r="W319" s="49"/>
    </row>
    <row r="320" spans="1:23" ht="11.25" customHeight="1" x14ac:dyDescent="0.3">
      <c r="A320" s="20">
        <f t="shared" si="4"/>
        <v>306</v>
      </c>
      <c r="B320" s="29"/>
      <c r="C320" s="29"/>
      <c r="D320" s="29"/>
      <c r="E320" s="29"/>
      <c r="F320" s="58"/>
      <c r="G320" s="58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59"/>
      <c r="V320" s="49"/>
      <c r="W320" s="49"/>
    </row>
    <row r="321" spans="1:23" ht="11.25" customHeight="1" x14ac:dyDescent="0.3">
      <c r="A321" s="20">
        <f t="shared" si="4"/>
        <v>307</v>
      </c>
      <c r="B321" s="29"/>
      <c r="C321" s="29"/>
      <c r="D321" s="29"/>
      <c r="E321" s="29"/>
      <c r="F321" s="58"/>
      <c r="G321" s="58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59"/>
      <c r="V321" s="49"/>
      <c r="W321" s="49"/>
    </row>
    <row r="322" spans="1:23" ht="11.25" customHeight="1" x14ac:dyDescent="0.3">
      <c r="A322" s="20">
        <f t="shared" si="4"/>
        <v>308</v>
      </c>
      <c r="B322" s="29"/>
      <c r="C322" s="29"/>
      <c r="D322" s="29"/>
      <c r="E322" s="29"/>
      <c r="F322" s="58"/>
      <c r="G322" s="58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59"/>
      <c r="V322" s="49"/>
      <c r="W322" s="49"/>
    </row>
    <row r="323" spans="1:23" ht="11.25" customHeight="1" x14ac:dyDescent="0.3">
      <c r="A323" s="20">
        <f t="shared" si="4"/>
        <v>309</v>
      </c>
      <c r="B323" s="29"/>
      <c r="C323" s="29"/>
      <c r="D323" s="29"/>
      <c r="E323" s="29"/>
      <c r="F323" s="58"/>
      <c r="G323" s="58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59"/>
      <c r="V323" s="49"/>
      <c r="W323" s="49"/>
    </row>
    <row r="324" spans="1:23" ht="11.25" customHeight="1" x14ac:dyDescent="0.3">
      <c r="A324" s="20">
        <f t="shared" si="4"/>
        <v>310</v>
      </c>
      <c r="B324" s="29"/>
      <c r="C324" s="29"/>
      <c r="D324" s="29"/>
      <c r="E324" s="29"/>
      <c r="F324" s="58"/>
      <c r="G324" s="58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59"/>
      <c r="V324" s="49"/>
      <c r="W324" s="49"/>
    </row>
    <row r="325" spans="1:23" ht="11.25" customHeight="1" x14ac:dyDescent="0.3">
      <c r="A325" s="20">
        <f t="shared" si="4"/>
        <v>311</v>
      </c>
      <c r="B325" s="29"/>
      <c r="C325" s="29"/>
      <c r="D325" s="29"/>
      <c r="E325" s="29"/>
      <c r="F325" s="58"/>
      <c r="G325" s="58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59"/>
      <c r="V325" s="49"/>
      <c r="W325" s="49"/>
    </row>
    <row r="326" spans="1:23" ht="11.25" customHeight="1" x14ac:dyDescent="0.3">
      <c r="A326" s="20">
        <f t="shared" si="4"/>
        <v>312</v>
      </c>
      <c r="B326" s="29"/>
      <c r="C326" s="29"/>
      <c r="D326" s="29"/>
      <c r="E326" s="29"/>
      <c r="F326" s="58"/>
      <c r="G326" s="58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59"/>
      <c r="V326" s="49"/>
      <c r="W326" s="49"/>
    </row>
    <row r="327" spans="1:23" ht="11.25" customHeight="1" x14ac:dyDescent="0.3">
      <c r="A327" s="20">
        <f t="shared" si="4"/>
        <v>313</v>
      </c>
      <c r="B327" s="29"/>
      <c r="C327" s="29"/>
      <c r="D327" s="29"/>
      <c r="E327" s="29"/>
      <c r="F327" s="58"/>
      <c r="G327" s="58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59"/>
      <c r="V327" s="49"/>
      <c r="W327" s="49"/>
    </row>
    <row r="328" spans="1:23" ht="11.25" customHeight="1" x14ac:dyDescent="0.3">
      <c r="A328" s="20">
        <f t="shared" si="4"/>
        <v>314</v>
      </c>
      <c r="B328" s="29"/>
      <c r="C328" s="29"/>
      <c r="D328" s="29"/>
      <c r="E328" s="29"/>
      <c r="F328" s="58"/>
      <c r="G328" s="58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59"/>
      <c r="V328" s="49"/>
      <c r="W328" s="49"/>
    </row>
    <row r="329" spans="1:23" ht="11.25" customHeight="1" x14ac:dyDescent="0.3">
      <c r="A329" s="20">
        <f t="shared" si="4"/>
        <v>315</v>
      </c>
      <c r="B329" s="29"/>
      <c r="C329" s="29"/>
      <c r="D329" s="29"/>
      <c r="E329" s="29"/>
      <c r="F329" s="58"/>
      <c r="G329" s="58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59"/>
      <c r="V329" s="49"/>
      <c r="W329" s="49"/>
    </row>
    <row r="330" spans="1:23" ht="11.25" customHeight="1" x14ac:dyDescent="0.3">
      <c r="A330" s="20">
        <f t="shared" si="4"/>
        <v>316</v>
      </c>
      <c r="B330" s="29"/>
      <c r="C330" s="29"/>
      <c r="D330" s="29"/>
      <c r="E330" s="29"/>
      <c r="F330" s="58"/>
      <c r="G330" s="58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59"/>
      <c r="V330" s="49"/>
      <c r="W330" s="49"/>
    </row>
    <row r="331" spans="1:23" ht="11.25" customHeight="1" x14ac:dyDescent="0.3">
      <c r="A331" s="20">
        <f t="shared" si="4"/>
        <v>317</v>
      </c>
      <c r="B331" s="29"/>
      <c r="C331" s="29"/>
      <c r="D331" s="29"/>
      <c r="E331" s="29"/>
      <c r="F331" s="58"/>
      <c r="G331" s="58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59"/>
      <c r="V331" s="49"/>
      <c r="W331" s="49"/>
    </row>
    <row r="332" spans="1:23" ht="11.25" customHeight="1" x14ac:dyDescent="0.3">
      <c r="A332" s="20">
        <f t="shared" si="4"/>
        <v>318</v>
      </c>
      <c r="B332" s="29"/>
      <c r="C332" s="29"/>
      <c r="D332" s="29"/>
      <c r="E332" s="29"/>
      <c r="F332" s="58"/>
      <c r="G332" s="58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59"/>
      <c r="V332" s="49"/>
      <c r="W332" s="49"/>
    </row>
    <row r="333" spans="1:23" ht="11.25" customHeight="1" x14ac:dyDescent="0.3">
      <c r="A333" s="20">
        <f t="shared" si="4"/>
        <v>319</v>
      </c>
      <c r="B333" s="29"/>
      <c r="C333" s="29"/>
      <c r="D333" s="29"/>
      <c r="E333" s="29"/>
      <c r="F333" s="58"/>
      <c r="G333" s="58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59"/>
      <c r="V333" s="49"/>
      <c r="W333" s="49"/>
    </row>
    <row r="334" spans="1:23" ht="11.25" customHeight="1" x14ac:dyDescent="0.3">
      <c r="A334" s="20">
        <f t="shared" si="4"/>
        <v>320</v>
      </c>
      <c r="B334" s="29"/>
      <c r="C334" s="29"/>
      <c r="D334" s="29"/>
      <c r="E334" s="29"/>
      <c r="F334" s="58"/>
      <c r="G334" s="58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59"/>
      <c r="V334" s="49"/>
      <c r="W334" s="49"/>
    </row>
    <row r="335" spans="1:23" ht="11.25" customHeight="1" x14ac:dyDescent="0.3">
      <c r="A335" s="20">
        <f t="shared" si="4"/>
        <v>321</v>
      </c>
      <c r="B335" s="29"/>
      <c r="C335" s="29"/>
      <c r="D335" s="29"/>
      <c r="E335" s="29"/>
      <c r="F335" s="58"/>
      <c r="G335" s="58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59"/>
      <c r="V335" s="49"/>
      <c r="W335" s="49"/>
    </row>
    <row r="336" spans="1:23" ht="11.25" customHeight="1" x14ac:dyDescent="0.3">
      <c r="A336" s="20">
        <f t="shared" ref="A336:A399" si="5">ROW()-14</f>
        <v>322</v>
      </c>
      <c r="B336" s="29"/>
      <c r="C336" s="29"/>
      <c r="D336" s="29"/>
      <c r="E336" s="29"/>
      <c r="F336" s="58"/>
      <c r="G336" s="58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59"/>
      <c r="V336" s="49"/>
      <c r="W336" s="49"/>
    </row>
    <row r="337" spans="1:23" ht="11.25" customHeight="1" x14ac:dyDescent="0.3">
      <c r="A337" s="20">
        <f t="shared" si="5"/>
        <v>323</v>
      </c>
      <c r="B337" s="29"/>
      <c r="C337" s="29"/>
      <c r="D337" s="29"/>
      <c r="E337" s="29"/>
      <c r="F337" s="58"/>
      <c r="G337" s="58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59"/>
      <c r="V337" s="49"/>
      <c r="W337" s="49"/>
    </row>
    <row r="338" spans="1:23" ht="11.25" customHeight="1" x14ac:dyDescent="0.3">
      <c r="A338" s="20">
        <f t="shared" si="5"/>
        <v>324</v>
      </c>
      <c r="B338" s="29"/>
      <c r="C338" s="29"/>
      <c r="D338" s="29"/>
      <c r="E338" s="29"/>
      <c r="F338" s="58"/>
      <c r="G338" s="58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59"/>
      <c r="V338" s="49"/>
      <c r="W338" s="49"/>
    </row>
    <row r="339" spans="1:23" ht="11.25" customHeight="1" x14ac:dyDescent="0.3">
      <c r="A339" s="20">
        <f t="shared" si="5"/>
        <v>325</v>
      </c>
      <c r="B339" s="29"/>
      <c r="C339" s="29"/>
      <c r="D339" s="29"/>
      <c r="E339" s="29"/>
      <c r="F339" s="58"/>
      <c r="G339" s="58"/>
      <c r="H339" s="29"/>
      <c r="I339" s="29"/>
      <c r="J339" s="29"/>
      <c r="K339" s="29"/>
      <c r="L339" s="29"/>
      <c r="M339" s="47"/>
      <c r="N339" s="47"/>
      <c r="O339" s="29"/>
      <c r="P339" s="47"/>
      <c r="Q339" s="29"/>
      <c r="R339" s="29"/>
      <c r="S339" s="29"/>
      <c r="T339" s="29"/>
      <c r="U339" s="59"/>
      <c r="V339" s="49"/>
      <c r="W339" s="49"/>
    </row>
    <row r="340" spans="1:23" ht="11.25" customHeight="1" x14ac:dyDescent="0.3">
      <c r="A340" s="20">
        <f t="shared" si="5"/>
        <v>326</v>
      </c>
      <c r="B340" s="29"/>
      <c r="C340" s="29"/>
      <c r="D340" s="29"/>
      <c r="E340" s="29"/>
      <c r="F340" s="29"/>
      <c r="G340" s="58"/>
      <c r="H340" s="29"/>
      <c r="I340" s="29"/>
      <c r="J340" s="29"/>
      <c r="K340" s="29"/>
      <c r="L340" s="29"/>
      <c r="M340" s="29"/>
      <c r="N340" s="47"/>
      <c r="O340" s="29"/>
      <c r="P340" s="47"/>
      <c r="Q340" s="29"/>
      <c r="R340" s="29"/>
      <c r="S340" s="29"/>
      <c r="T340" s="29"/>
      <c r="U340" s="59"/>
      <c r="V340" s="49"/>
      <c r="W340" s="49"/>
    </row>
    <row r="341" spans="1:23" ht="11.25" customHeight="1" x14ac:dyDescent="0.3">
      <c r="A341" s="20">
        <f t="shared" si="5"/>
        <v>327</v>
      </c>
      <c r="B341" s="29"/>
      <c r="C341" s="29"/>
      <c r="D341" s="29"/>
      <c r="E341" s="29"/>
      <c r="F341" s="29"/>
      <c r="G341" s="58"/>
      <c r="H341" s="29"/>
      <c r="I341" s="29"/>
      <c r="J341" s="29"/>
      <c r="K341" s="29"/>
      <c r="L341" s="29"/>
      <c r="M341" s="29"/>
      <c r="N341" s="47"/>
      <c r="O341" s="29"/>
      <c r="P341" s="47"/>
      <c r="Q341" s="29"/>
      <c r="R341" s="47"/>
      <c r="S341" s="29"/>
      <c r="T341" s="29"/>
      <c r="U341" s="59"/>
      <c r="V341" s="49"/>
      <c r="W341" s="49"/>
    </row>
    <row r="342" spans="1:23" ht="11.25" customHeight="1" x14ac:dyDescent="0.3">
      <c r="A342" s="20">
        <f t="shared" si="5"/>
        <v>328</v>
      </c>
      <c r="B342" s="29"/>
      <c r="C342" s="29"/>
      <c r="D342" s="29"/>
      <c r="E342" s="29"/>
      <c r="F342" s="29"/>
      <c r="G342" s="58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59"/>
      <c r="V342" s="49"/>
      <c r="W342" s="49"/>
    </row>
    <row r="343" spans="1:23" ht="11.25" customHeight="1" x14ac:dyDescent="0.3">
      <c r="A343" s="20">
        <f t="shared" si="5"/>
        <v>329</v>
      </c>
      <c r="B343" s="29"/>
      <c r="C343" s="29"/>
      <c r="D343" s="29"/>
      <c r="E343" s="29"/>
      <c r="F343" s="29"/>
      <c r="G343" s="58"/>
      <c r="H343" s="29"/>
      <c r="I343" s="29"/>
      <c r="J343" s="29"/>
      <c r="K343" s="29"/>
      <c r="L343" s="29"/>
      <c r="M343" s="47"/>
      <c r="N343" s="29"/>
      <c r="O343" s="29"/>
      <c r="P343" s="47"/>
      <c r="Q343" s="29"/>
      <c r="R343" s="29"/>
      <c r="S343" s="29"/>
      <c r="T343" s="29"/>
      <c r="U343" s="59"/>
      <c r="V343" s="49"/>
      <c r="W343" s="49"/>
    </row>
    <row r="344" spans="1:23" ht="11.25" customHeight="1" x14ac:dyDescent="0.3">
      <c r="A344" s="20">
        <f t="shared" si="5"/>
        <v>330</v>
      </c>
      <c r="B344" s="29"/>
      <c r="C344" s="29"/>
      <c r="D344" s="29"/>
      <c r="E344" s="29"/>
      <c r="F344" s="29"/>
      <c r="G344" s="58"/>
      <c r="H344" s="29"/>
      <c r="I344" s="29"/>
      <c r="J344" s="29"/>
      <c r="K344" s="29"/>
      <c r="L344" s="29"/>
      <c r="M344" s="29"/>
      <c r="N344" s="47"/>
      <c r="O344" s="29"/>
      <c r="P344" s="47"/>
      <c r="Q344" s="29"/>
      <c r="R344" s="29"/>
      <c r="S344" s="29"/>
      <c r="T344" s="29"/>
      <c r="U344" s="59"/>
      <c r="V344" s="49"/>
      <c r="W344" s="49"/>
    </row>
    <row r="345" spans="1:23" ht="11.25" customHeight="1" x14ac:dyDescent="0.3">
      <c r="A345" s="20">
        <f t="shared" si="5"/>
        <v>331</v>
      </c>
      <c r="B345" s="29"/>
      <c r="C345" s="29"/>
      <c r="D345" s="29"/>
      <c r="E345" s="29"/>
      <c r="F345" s="29"/>
      <c r="G345" s="58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59"/>
      <c r="V345" s="49"/>
      <c r="W345" s="49"/>
    </row>
    <row r="346" spans="1:23" ht="11.25" customHeight="1" x14ac:dyDescent="0.3">
      <c r="A346" s="20">
        <f t="shared" si="5"/>
        <v>332</v>
      </c>
      <c r="B346" s="29"/>
      <c r="C346" s="29"/>
      <c r="D346" s="29"/>
      <c r="E346" s="29"/>
      <c r="F346" s="58"/>
      <c r="G346" s="58"/>
      <c r="H346" s="29"/>
      <c r="I346" s="29"/>
      <c r="J346" s="29"/>
      <c r="K346" s="29"/>
      <c r="L346" s="29"/>
      <c r="M346" s="29"/>
      <c r="N346" s="47"/>
      <c r="O346" s="29"/>
      <c r="P346" s="29"/>
      <c r="Q346" s="29"/>
      <c r="R346" s="29"/>
      <c r="S346" s="29"/>
      <c r="T346" s="29"/>
      <c r="U346" s="59"/>
      <c r="V346" s="49"/>
      <c r="W346" s="49"/>
    </row>
    <row r="347" spans="1:23" ht="11.25" customHeight="1" x14ac:dyDescent="0.3">
      <c r="A347" s="20">
        <f t="shared" si="5"/>
        <v>333</v>
      </c>
      <c r="B347" s="29"/>
      <c r="C347" s="29"/>
      <c r="D347" s="29"/>
      <c r="E347" s="29"/>
      <c r="F347" s="58"/>
      <c r="G347" s="58"/>
      <c r="H347" s="29"/>
      <c r="I347" s="29"/>
      <c r="J347" s="29"/>
      <c r="K347" s="29"/>
      <c r="L347" s="29"/>
      <c r="M347" s="29"/>
      <c r="N347" s="29"/>
      <c r="O347" s="29"/>
      <c r="P347" s="47"/>
      <c r="Q347" s="29"/>
      <c r="R347" s="29"/>
      <c r="S347" s="29"/>
      <c r="T347" s="29"/>
      <c r="U347" s="59"/>
      <c r="V347" s="49"/>
      <c r="W347" s="49"/>
    </row>
    <row r="348" spans="1:23" ht="11.25" customHeight="1" x14ac:dyDescent="0.3">
      <c r="A348" s="20">
        <f t="shared" si="5"/>
        <v>334</v>
      </c>
      <c r="B348" s="29"/>
      <c r="C348" s="29"/>
      <c r="D348" s="29"/>
      <c r="E348" s="29"/>
      <c r="F348" s="29"/>
      <c r="G348" s="58"/>
      <c r="H348" s="29"/>
      <c r="I348" s="29"/>
      <c r="J348" s="29"/>
      <c r="K348" s="29"/>
      <c r="L348" s="29"/>
      <c r="M348" s="47"/>
      <c r="N348" s="29"/>
      <c r="O348" s="29"/>
      <c r="P348" s="29"/>
      <c r="Q348" s="29"/>
      <c r="R348" s="29"/>
      <c r="S348" s="29"/>
      <c r="T348" s="29"/>
      <c r="U348" s="59"/>
      <c r="V348" s="49"/>
      <c r="W348" s="49"/>
    </row>
    <row r="349" spans="1:23" ht="11.25" customHeight="1" x14ac:dyDescent="0.3">
      <c r="A349" s="20">
        <f t="shared" si="5"/>
        <v>335</v>
      </c>
      <c r="B349" s="29"/>
      <c r="C349" s="29"/>
      <c r="D349" s="29"/>
      <c r="E349" s="29"/>
      <c r="F349" s="58"/>
      <c r="G349" s="58"/>
      <c r="H349" s="29"/>
      <c r="I349" s="29"/>
      <c r="J349" s="29"/>
      <c r="K349" s="29"/>
      <c r="L349" s="29"/>
      <c r="M349" s="29"/>
      <c r="N349" s="47"/>
      <c r="O349" s="29"/>
      <c r="P349" s="29"/>
      <c r="Q349" s="29"/>
      <c r="R349" s="29"/>
      <c r="S349" s="29"/>
      <c r="T349" s="29"/>
      <c r="U349" s="59"/>
      <c r="V349" s="49"/>
      <c r="W349" s="49"/>
    </row>
    <row r="350" spans="1:23" ht="11.25" customHeight="1" x14ac:dyDescent="0.3">
      <c r="A350" s="20">
        <f t="shared" si="5"/>
        <v>336</v>
      </c>
      <c r="B350" s="29"/>
      <c r="C350" s="29"/>
      <c r="D350" s="29"/>
      <c r="E350" s="29"/>
      <c r="F350" s="58"/>
      <c r="G350" s="58"/>
      <c r="H350" s="29"/>
      <c r="I350" s="29"/>
      <c r="J350" s="29"/>
      <c r="K350" s="29"/>
      <c r="L350" s="29"/>
      <c r="M350" s="29"/>
      <c r="N350" s="47"/>
      <c r="O350" s="29"/>
      <c r="P350" s="47"/>
      <c r="Q350" s="29"/>
      <c r="R350" s="29"/>
      <c r="S350" s="29"/>
      <c r="T350" s="29"/>
      <c r="U350" s="59"/>
      <c r="V350" s="49"/>
      <c r="W350" s="49"/>
    </row>
    <row r="351" spans="1:23" ht="11.25" customHeight="1" x14ac:dyDescent="0.3">
      <c r="A351" s="20">
        <f t="shared" si="5"/>
        <v>337</v>
      </c>
      <c r="B351" s="29"/>
      <c r="C351" s="29"/>
      <c r="D351" s="29"/>
      <c r="E351" s="29"/>
      <c r="F351" s="29"/>
      <c r="G351" s="58"/>
      <c r="H351" s="29"/>
      <c r="I351" s="29"/>
      <c r="J351" s="29"/>
      <c r="K351" s="29"/>
      <c r="L351" s="29"/>
      <c r="M351" s="29"/>
      <c r="N351" s="29"/>
      <c r="O351" s="29"/>
      <c r="P351" s="47"/>
      <c r="Q351" s="47"/>
      <c r="R351" s="29"/>
      <c r="S351" s="29"/>
      <c r="T351" s="29"/>
      <c r="U351" s="59"/>
      <c r="V351" s="49"/>
      <c r="W351" s="49"/>
    </row>
    <row r="352" spans="1:23" ht="11.25" customHeight="1" x14ac:dyDescent="0.3">
      <c r="A352" s="20">
        <f t="shared" si="5"/>
        <v>338</v>
      </c>
      <c r="B352" s="29"/>
      <c r="C352" s="29"/>
      <c r="D352" s="29"/>
      <c r="E352" s="29"/>
      <c r="F352" s="29"/>
      <c r="G352" s="58"/>
      <c r="H352" s="29"/>
      <c r="I352" s="29"/>
      <c r="J352" s="29"/>
      <c r="K352" s="29"/>
      <c r="L352" s="29"/>
      <c r="M352" s="29"/>
      <c r="N352" s="47"/>
      <c r="O352" s="29"/>
      <c r="P352" s="47"/>
      <c r="Q352" s="29"/>
      <c r="R352" s="29"/>
      <c r="S352" s="29"/>
      <c r="T352" s="29"/>
      <c r="U352" s="59"/>
      <c r="V352" s="49"/>
      <c r="W352" s="49"/>
    </row>
    <row r="353" spans="1:23" ht="11.25" customHeight="1" x14ac:dyDescent="0.3">
      <c r="A353" s="20">
        <f t="shared" si="5"/>
        <v>339</v>
      </c>
      <c r="B353" s="29"/>
      <c r="C353" s="29"/>
      <c r="D353" s="29"/>
      <c r="E353" s="29"/>
      <c r="F353" s="29"/>
      <c r="G353" s="58"/>
      <c r="H353" s="29"/>
      <c r="I353" s="29"/>
      <c r="J353" s="29"/>
      <c r="K353" s="29"/>
      <c r="L353" s="29"/>
      <c r="M353" s="29"/>
      <c r="N353" s="47"/>
      <c r="O353" s="29"/>
      <c r="P353" s="47"/>
      <c r="Q353" s="29"/>
      <c r="R353" s="29"/>
      <c r="S353" s="29"/>
      <c r="T353" s="29"/>
      <c r="U353" s="59"/>
      <c r="V353" s="49"/>
      <c r="W353" s="50"/>
    </row>
    <row r="354" spans="1:23" ht="11.25" customHeight="1" x14ac:dyDescent="0.3">
      <c r="A354" s="20">
        <f t="shared" si="5"/>
        <v>340</v>
      </c>
      <c r="B354" s="29"/>
      <c r="C354" s="29"/>
      <c r="D354" s="29"/>
      <c r="E354" s="29"/>
      <c r="F354" s="29"/>
      <c r="G354" s="58"/>
      <c r="H354" s="29"/>
      <c r="I354" s="29"/>
      <c r="J354" s="29"/>
      <c r="K354" s="29"/>
      <c r="L354" s="29"/>
      <c r="M354" s="29"/>
      <c r="N354" s="47"/>
      <c r="O354" s="29"/>
      <c r="P354" s="29"/>
      <c r="Q354" s="29"/>
      <c r="R354" s="29"/>
      <c r="S354" s="29"/>
      <c r="T354" s="29"/>
      <c r="U354" s="59"/>
      <c r="V354" s="49"/>
      <c r="W354" s="50"/>
    </row>
    <row r="355" spans="1:23" ht="11.25" customHeight="1" x14ac:dyDescent="0.3">
      <c r="A355" s="20">
        <f t="shared" si="5"/>
        <v>341</v>
      </c>
      <c r="B355" s="29"/>
      <c r="C355" s="29"/>
      <c r="D355" s="29"/>
      <c r="E355" s="29"/>
      <c r="F355" s="29"/>
      <c r="G355" s="58"/>
      <c r="H355" s="29"/>
      <c r="I355" s="29"/>
      <c r="J355" s="29"/>
      <c r="K355" s="29"/>
      <c r="L355" s="29"/>
      <c r="M355" s="29"/>
      <c r="N355" s="47"/>
      <c r="O355" s="29"/>
      <c r="P355" s="29"/>
      <c r="Q355" s="29"/>
      <c r="R355" s="29"/>
      <c r="S355" s="29"/>
      <c r="T355" s="29"/>
      <c r="U355" s="59"/>
      <c r="V355" s="49"/>
      <c r="W355" s="49"/>
    </row>
    <row r="356" spans="1:23" ht="11.25" customHeight="1" x14ac:dyDescent="0.3">
      <c r="A356" s="20">
        <f t="shared" si="5"/>
        <v>342</v>
      </c>
      <c r="B356" s="29"/>
      <c r="C356" s="29"/>
      <c r="D356" s="29"/>
      <c r="E356" s="29"/>
      <c r="F356" s="58"/>
      <c r="G356" s="58"/>
      <c r="H356" s="29"/>
      <c r="I356" s="29"/>
      <c r="J356" s="29"/>
      <c r="K356" s="29"/>
      <c r="L356" s="29"/>
      <c r="M356" s="29"/>
      <c r="N356" s="47"/>
      <c r="O356" s="29"/>
      <c r="P356" s="29"/>
      <c r="Q356" s="29"/>
      <c r="R356" s="29"/>
      <c r="S356" s="29"/>
      <c r="T356" s="29"/>
      <c r="U356" s="59"/>
      <c r="V356" s="49"/>
      <c r="W356" s="49"/>
    </row>
    <row r="357" spans="1:23" ht="11.25" customHeight="1" x14ac:dyDescent="0.3">
      <c r="A357" s="20">
        <f t="shared" si="5"/>
        <v>343</v>
      </c>
      <c r="B357" s="29"/>
      <c r="C357" s="29"/>
      <c r="D357" s="29"/>
      <c r="E357" s="29"/>
      <c r="F357" s="58"/>
      <c r="G357" s="58"/>
      <c r="H357" s="29"/>
      <c r="I357" s="29"/>
      <c r="J357" s="29"/>
      <c r="K357" s="29"/>
      <c r="L357" s="29"/>
      <c r="M357" s="29"/>
      <c r="N357" s="47"/>
      <c r="O357" s="29"/>
      <c r="P357" s="29"/>
      <c r="Q357" s="29"/>
      <c r="R357" s="29"/>
      <c r="S357" s="29"/>
      <c r="T357" s="29"/>
      <c r="U357" s="59"/>
      <c r="V357" s="49"/>
      <c r="W357" s="49"/>
    </row>
    <row r="358" spans="1:23" ht="11.25" customHeight="1" x14ac:dyDescent="0.3">
      <c r="A358" s="20">
        <f t="shared" si="5"/>
        <v>344</v>
      </c>
      <c r="B358" s="29"/>
      <c r="C358" s="29"/>
      <c r="D358" s="29"/>
      <c r="E358" s="29"/>
      <c r="F358" s="58"/>
      <c r="G358" s="58"/>
      <c r="H358" s="29"/>
      <c r="I358" s="29"/>
      <c r="J358" s="29"/>
      <c r="K358" s="29"/>
      <c r="L358" s="29"/>
      <c r="M358" s="29"/>
      <c r="N358" s="47"/>
      <c r="O358" s="29"/>
      <c r="P358" s="47"/>
      <c r="Q358" s="47"/>
      <c r="R358" s="29"/>
      <c r="S358" s="29"/>
      <c r="T358" s="29"/>
      <c r="U358" s="59"/>
      <c r="V358" s="49"/>
      <c r="W358" s="49"/>
    </row>
    <row r="359" spans="1:23" ht="11.25" customHeight="1" x14ac:dyDescent="0.3">
      <c r="A359" s="20">
        <f t="shared" si="5"/>
        <v>345</v>
      </c>
      <c r="B359" s="29"/>
      <c r="C359" s="29"/>
      <c r="D359" s="29"/>
      <c r="E359" s="29"/>
      <c r="F359" s="29"/>
      <c r="G359" s="58"/>
      <c r="H359" s="29"/>
      <c r="I359" s="29"/>
      <c r="J359" s="29"/>
      <c r="K359" s="29"/>
      <c r="L359" s="29"/>
      <c r="M359" s="29"/>
      <c r="N359" s="29"/>
      <c r="O359" s="29"/>
      <c r="P359" s="47"/>
      <c r="Q359" s="47"/>
      <c r="R359" s="29"/>
      <c r="S359" s="29"/>
      <c r="T359" s="29"/>
      <c r="U359" s="59"/>
      <c r="V359" s="49"/>
      <c r="W359" s="49"/>
    </row>
    <row r="360" spans="1:23" ht="11.25" customHeight="1" x14ac:dyDescent="0.3">
      <c r="A360" s="20">
        <f t="shared" si="5"/>
        <v>346</v>
      </c>
      <c r="B360" s="29"/>
      <c r="C360" s="29"/>
      <c r="D360" s="29"/>
      <c r="E360" s="29"/>
      <c r="F360" s="29"/>
      <c r="G360" s="58"/>
      <c r="H360" s="29"/>
      <c r="I360" s="29"/>
      <c r="J360" s="29"/>
      <c r="K360" s="29"/>
      <c r="L360" s="29"/>
      <c r="M360" s="29"/>
      <c r="N360" s="47"/>
      <c r="O360" s="29"/>
      <c r="P360" s="47"/>
      <c r="Q360" s="29"/>
      <c r="R360" s="29"/>
      <c r="S360" s="29"/>
      <c r="T360" s="29"/>
      <c r="U360" s="59"/>
      <c r="V360" s="49"/>
      <c r="W360" s="49"/>
    </row>
    <row r="361" spans="1:23" ht="11.25" customHeight="1" x14ac:dyDescent="0.3">
      <c r="A361" s="20">
        <f t="shared" si="5"/>
        <v>347</v>
      </c>
      <c r="B361" s="29"/>
      <c r="C361" s="29"/>
      <c r="D361" s="29"/>
      <c r="E361" s="29"/>
      <c r="F361" s="58"/>
      <c r="G361" s="58"/>
      <c r="H361" s="29"/>
      <c r="I361" s="29"/>
      <c r="J361" s="29"/>
      <c r="K361" s="29"/>
      <c r="L361" s="29"/>
      <c r="M361" s="29"/>
      <c r="N361" s="47"/>
      <c r="O361" s="29"/>
      <c r="P361" s="47"/>
      <c r="Q361" s="29"/>
      <c r="R361" s="29"/>
      <c r="S361" s="29"/>
      <c r="T361" s="29"/>
      <c r="U361" s="59"/>
      <c r="V361" s="49"/>
      <c r="W361" s="49"/>
    </row>
    <row r="362" spans="1:23" ht="11.25" customHeight="1" x14ac:dyDescent="0.3">
      <c r="A362" s="20">
        <f t="shared" si="5"/>
        <v>348</v>
      </c>
      <c r="B362" s="29"/>
      <c r="C362" s="29"/>
      <c r="D362" s="29"/>
      <c r="E362" s="29"/>
      <c r="F362" s="58"/>
      <c r="G362" s="58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59"/>
      <c r="V362" s="49"/>
      <c r="W362" s="49"/>
    </row>
    <row r="363" spans="1:23" ht="11.25" customHeight="1" x14ac:dyDescent="0.3">
      <c r="A363" s="20">
        <f t="shared" si="5"/>
        <v>349</v>
      </c>
      <c r="B363" s="29"/>
      <c r="C363" s="29"/>
      <c r="D363" s="29"/>
      <c r="E363" s="29"/>
      <c r="F363" s="58"/>
      <c r="G363" s="58"/>
      <c r="H363" s="29"/>
      <c r="I363" s="29"/>
      <c r="J363" s="29"/>
      <c r="K363" s="29"/>
      <c r="L363" s="29"/>
      <c r="M363" s="29"/>
      <c r="N363" s="47"/>
      <c r="O363" s="29"/>
      <c r="P363" s="29"/>
      <c r="Q363" s="29"/>
      <c r="R363" s="29"/>
      <c r="S363" s="29"/>
      <c r="T363" s="29"/>
      <c r="U363" s="59"/>
      <c r="V363" s="49"/>
      <c r="W363" s="49"/>
    </row>
    <row r="364" spans="1:23" ht="11.25" customHeight="1" x14ac:dyDescent="0.3">
      <c r="A364" s="20">
        <f t="shared" si="5"/>
        <v>350</v>
      </c>
      <c r="B364" s="29"/>
      <c r="C364" s="29"/>
      <c r="D364" s="29"/>
      <c r="E364" s="29"/>
      <c r="F364" s="58"/>
      <c r="G364" s="58"/>
      <c r="H364" s="29"/>
      <c r="I364" s="29"/>
      <c r="J364" s="29"/>
      <c r="K364" s="29"/>
      <c r="L364" s="29"/>
      <c r="M364" s="29"/>
      <c r="N364" s="47"/>
      <c r="O364" s="29"/>
      <c r="P364" s="29"/>
      <c r="Q364" s="29"/>
      <c r="R364" s="29"/>
      <c r="S364" s="29"/>
      <c r="T364" s="29"/>
      <c r="U364" s="59"/>
      <c r="V364" s="49"/>
      <c r="W364" s="49"/>
    </row>
    <row r="365" spans="1:23" ht="11.25" customHeight="1" x14ac:dyDescent="0.3">
      <c r="A365" s="20">
        <f t="shared" si="5"/>
        <v>351</v>
      </c>
      <c r="B365" s="29"/>
      <c r="C365" s="29"/>
      <c r="D365" s="29"/>
      <c r="E365" s="29"/>
      <c r="F365" s="29"/>
      <c r="G365" s="58"/>
      <c r="H365" s="29"/>
      <c r="I365" s="29"/>
      <c r="J365" s="29"/>
      <c r="K365" s="29"/>
      <c r="L365" s="29"/>
      <c r="M365" s="29"/>
      <c r="N365" s="47"/>
      <c r="O365" s="29"/>
      <c r="P365" s="47"/>
      <c r="Q365" s="47"/>
      <c r="R365" s="29"/>
      <c r="S365" s="29"/>
      <c r="T365" s="29"/>
      <c r="U365" s="59"/>
      <c r="V365" s="49"/>
      <c r="W365" s="49"/>
    </row>
    <row r="366" spans="1:23" ht="11.25" customHeight="1" x14ac:dyDescent="0.3">
      <c r="A366" s="20">
        <f t="shared" si="5"/>
        <v>352</v>
      </c>
      <c r="B366" s="29"/>
      <c r="C366" s="29"/>
      <c r="D366" s="29"/>
      <c r="E366" s="29"/>
      <c r="F366" s="29"/>
      <c r="G366" s="46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59"/>
      <c r="V366" s="49"/>
      <c r="W366" s="49"/>
    </row>
    <row r="367" spans="1:23" ht="11.25" customHeight="1" x14ac:dyDescent="0.3">
      <c r="A367" s="20">
        <f t="shared" si="5"/>
        <v>353</v>
      </c>
      <c r="B367" s="29"/>
      <c r="C367" s="29"/>
      <c r="D367" s="29"/>
      <c r="E367" s="29"/>
      <c r="F367" s="29"/>
      <c r="G367" s="46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59"/>
      <c r="V367" s="49"/>
      <c r="W367" s="49"/>
    </row>
    <row r="368" spans="1:23" ht="11.25" customHeight="1" x14ac:dyDescent="0.3">
      <c r="A368" s="20">
        <f t="shared" si="5"/>
        <v>354</v>
      </c>
      <c r="B368" s="29"/>
      <c r="C368" s="29"/>
      <c r="D368" s="29"/>
      <c r="E368" s="29"/>
      <c r="F368" s="29"/>
      <c r="G368" s="46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59"/>
      <c r="V368" s="49"/>
      <c r="W368" s="49"/>
    </row>
    <row r="369" spans="1:23" ht="11.25" customHeight="1" x14ac:dyDescent="0.3">
      <c r="A369" s="10">
        <f t="shared" si="5"/>
        <v>355</v>
      </c>
      <c r="B369" s="29"/>
      <c r="C369" s="29"/>
      <c r="D369" s="29"/>
      <c r="E369" s="29"/>
      <c r="F369" s="29"/>
      <c r="G369" s="46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59"/>
      <c r="V369" s="49"/>
      <c r="W369" s="49"/>
    </row>
    <row r="370" spans="1:23" ht="11.25" customHeight="1" x14ac:dyDescent="0.3">
      <c r="A370" s="10">
        <f t="shared" si="5"/>
        <v>356</v>
      </c>
      <c r="B370" s="29"/>
      <c r="C370" s="29"/>
      <c r="D370" s="29"/>
      <c r="E370" s="29"/>
      <c r="F370" s="29"/>
      <c r="G370" s="46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59"/>
      <c r="V370" s="49"/>
      <c r="W370" s="49"/>
    </row>
    <row r="371" spans="1:23" ht="11.25" customHeight="1" x14ac:dyDescent="0.3">
      <c r="A371" s="10">
        <f t="shared" si="5"/>
        <v>357</v>
      </c>
      <c r="B371" s="29"/>
      <c r="C371" s="29"/>
      <c r="D371" s="29"/>
      <c r="E371" s="29"/>
      <c r="F371" s="29"/>
      <c r="G371" s="46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59"/>
      <c r="V371" s="49"/>
      <c r="W371" s="49"/>
    </row>
    <row r="372" spans="1:23" ht="11.25" customHeight="1" x14ac:dyDescent="0.3">
      <c r="A372" s="10">
        <f t="shared" si="5"/>
        <v>358</v>
      </c>
      <c r="B372" s="29"/>
      <c r="C372" s="29"/>
      <c r="D372" s="29"/>
      <c r="E372" s="29"/>
      <c r="F372" s="29"/>
      <c r="G372" s="46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59"/>
      <c r="V372" s="49"/>
      <c r="W372" s="49"/>
    </row>
    <row r="373" spans="1:23" ht="11.25" customHeight="1" x14ac:dyDescent="0.3">
      <c r="A373" s="10">
        <f t="shared" si="5"/>
        <v>359</v>
      </c>
      <c r="B373" s="29"/>
      <c r="C373" s="29"/>
      <c r="D373" s="29"/>
      <c r="E373" s="29"/>
      <c r="F373" s="29"/>
      <c r="G373" s="46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59"/>
      <c r="V373" s="49"/>
      <c r="W373" s="49"/>
    </row>
    <row r="374" spans="1:23" ht="11.25" customHeight="1" x14ac:dyDescent="0.3">
      <c r="A374" s="10">
        <f t="shared" si="5"/>
        <v>360</v>
      </c>
      <c r="B374" s="29"/>
      <c r="C374" s="29"/>
      <c r="D374" s="29"/>
      <c r="E374" s="29"/>
      <c r="F374" s="29"/>
      <c r="G374" s="46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59"/>
      <c r="V374" s="49"/>
      <c r="W374" s="49"/>
    </row>
    <row r="375" spans="1:23" ht="11.25" customHeight="1" x14ac:dyDescent="0.3">
      <c r="A375" s="10">
        <f t="shared" si="5"/>
        <v>361</v>
      </c>
      <c r="B375" s="29"/>
      <c r="C375" s="29"/>
      <c r="D375" s="29"/>
      <c r="E375" s="29"/>
      <c r="F375" s="29"/>
      <c r="G375" s="46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59"/>
      <c r="V375" s="49"/>
      <c r="W375" s="49"/>
    </row>
    <row r="376" spans="1:23" ht="11.25" customHeight="1" x14ac:dyDescent="0.3">
      <c r="A376" s="10">
        <f t="shared" si="5"/>
        <v>362</v>
      </c>
      <c r="B376" s="29"/>
      <c r="C376" s="29"/>
      <c r="D376" s="29"/>
      <c r="E376" s="29"/>
      <c r="F376" s="29"/>
      <c r="G376" s="46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59"/>
      <c r="V376" s="49"/>
      <c r="W376" s="49"/>
    </row>
    <row r="377" spans="1:23" ht="11.25" customHeight="1" x14ac:dyDescent="0.3">
      <c r="A377" s="10">
        <f t="shared" si="5"/>
        <v>363</v>
      </c>
      <c r="B377" s="29"/>
      <c r="C377" s="29"/>
      <c r="D377" s="29"/>
      <c r="E377" s="29"/>
      <c r="F377" s="29"/>
      <c r="G377" s="46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59"/>
      <c r="V377" s="49"/>
      <c r="W377" s="49"/>
    </row>
    <row r="378" spans="1:23" ht="11.25" customHeight="1" x14ac:dyDescent="0.3">
      <c r="A378" s="10">
        <f t="shared" si="5"/>
        <v>364</v>
      </c>
      <c r="B378" s="29"/>
      <c r="C378" s="29"/>
      <c r="D378" s="29"/>
      <c r="E378" s="29"/>
      <c r="F378" s="29"/>
      <c r="G378" s="46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59"/>
      <c r="V378" s="49"/>
      <c r="W378" s="49"/>
    </row>
    <row r="379" spans="1:23" ht="11.25" customHeight="1" x14ac:dyDescent="0.3">
      <c r="A379" s="10">
        <f t="shared" si="5"/>
        <v>365</v>
      </c>
      <c r="B379" s="29"/>
      <c r="C379" s="29"/>
      <c r="D379" s="29"/>
      <c r="E379" s="29"/>
      <c r="F379" s="29"/>
      <c r="G379" s="46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59"/>
      <c r="V379" s="49"/>
      <c r="W379" s="49"/>
    </row>
    <row r="380" spans="1:23" ht="11.25" customHeight="1" x14ac:dyDescent="0.3">
      <c r="A380" s="10">
        <f t="shared" si="5"/>
        <v>366</v>
      </c>
      <c r="B380" s="29"/>
      <c r="C380" s="29"/>
      <c r="D380" s="29"/>
      <c r="E380" s="29"/>
      <c r="F380" s="29"/>
      <c r="G380" s="46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59"/>
      <c r="V380" s="49"/>
      <c r="W380" s="49"/>
    </row>
    <row r="381" spans="1:23" ht="11.25" customHeight="1" x14ac:dyDescent="0.3">
      <c r="A381" s="10">
        <f t="shared" si="5"/>
        <v>367</v>
      </c>
      <c r="B381" s="29"/>
      <c r="C381" s="29"/>
      <c r="D381" s="29"/>
      <c r="E381" s="29"/>
      <c r="F381" s="29"/>
      <c r="G381" s="46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59"/>
      <c r="V381" s="49"/>
      <c r="W381" s="49"/>
    </row>
    <row r="382" spans="1:23" ht="11.25" customHeight="1" x14ac:dyDescent="0.3">
      <c r="A382" s="10">
        <f t="shared" si="5"/>
        <v>368</v>
      </c>
      <c r="B382" s="29"/>
      <c r="C382" s="29"/>
      <c r="D382" s="29"/>
      <c r="E382" s="29"/>
      <c r="F382" s="29"/>
      <c r="G382" s="46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59"/>
      <c r="V382" s="49"/>
      <c r="W382" s="49"/>
    </row>
    <row r="383" spans="1:23" ht="11.25" customHeight="1" x14ac:dyDescent="0.3">
      <c r="A383" s="10">
        <f t="shared" si="5"/>
        <v>369</v>
      </c>
      <c r="B383" s="29"/>
      <c r="C383" s="29"/>
      <c r="D383" s="29"/>
      <c r="E383" s="29"/>
      <c r="F383" s="29"/>
      <c r="G383" s="46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59"/>
      <c r="V383" s="49"/>
      <c r="W383" s="49"/>
    </row>
    <row r="384" spans="1:23" ht="11.25" customHeight="1" x14ac:dyDescent="0.3">
      <c r="A384" s="10">
        <f t="shared" si="5"/>
        <v>370</v>
      </c>
      <c r="B384" s="29"/>
      <c r="C384" s="29"/>
      <c r="D384" s="29"/>
      <c r="E384" s="29"/>
      <c r="F384" s="29"/>
      <c r="G384" s="46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59"/>
      <c r="V384" s="49"/>
      <c r="W384" s="49"/>
    </row>
    <row r="385" spans="1:23" ht="11.25" customHeight="1" x14ac:dyDescent="0.3">
      <c r="A385" s="10">
        <f t="shared" si="5"/>
        <v>371</v>
      </c>
      <c r="B385" s="29"/>
      <c r="C385" s="29"/>
      <c r="D385" s="29"/>
      <c r="E385" s="29"/>
      <c r="F385" s="29"/>
      <c r="G385" s="46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59"/>
      <c r="V385" s="49"/>
      <c r="W385" s="49"/>
    </row>
    <row r="386" spans="1:23" ht="11.25" customHeight="1" x14ac:dyDescent="0.3">
      <c r="A386" s="10">
        <f t="shared" si="5"/>
        <v>372</v>
      </c>
      <c r="B386" s="29"/>
      <c r="C386" s="29"/>
      <c r="D386" s="29"/>
      <c r="E386" s="29"/>
      <c r="F386" s="29"/>
      <c r="G386" s="46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59"/>
      <c r="V386" s="49"/>
      <c r="W386" s="49"/>
    </row>
    <row r="387" spans="1:23" ht="11.25" customHeight="1" x14ac:dyDescent="0.3">
      <c r="A387" s="10">
        <f t="shared" si="5"/>
        <v>373</v>
      </c>
      <c r="B387" s="29"/>
      <c r="C387" s="29"/>
      <c r="D387" s="29"/>
      <c r="E387" s="29"/>
      <c r="F387" s="29"/>
      <c r="G387" s="46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59"/>
      <c r="V387" s="49"/>
      <c r="W387" s="49"/>
    </row>
    <row r="388" spans="1:23" ht="11.25" customHeight="1" x14ac:dyDescent="0.3">
      <c r="A388" s="10">
        <f t="shared" si="5"/>
        <v>374</v>
      </c>
      <c r="B388" s="29"/>
      <c r="C388" s="29"/>
      <c r="D388" s="29"/>
      <c r="E388" s="29"/>
      <c r="F388" s="29"/>
      <c r="G388" s="46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59"/>
      <c r="V388" s="49"/>
      <c r="W388" s="49"/>
    </row>
    <row r="389" spans="1:23" ht="11.25" customHeight="1" x14ac:dyDescent="0.3">
      <c r="A389" s="10">
        <f t="shared" si="5"/>
        <v>375</v>
      </c>
      <c r="B389" s="29"/>
      <c r="C389" s="29"/>
      <c r="D389" s="29"/>
      <c r="E389" s="29"/>
      <c r="F389" s="29"/>
      <c r="G389" s="46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59"/>
      <c r="V389" s="49"/>
      <c r="W389" s="49"/>
    </row>
    <row r="390" spans="1:23" ht="11.25" customHeight="1" x14ac:dyDescent="0.3">
      <c r="A390" s="10">
        <f t="shared" si="5"/>
        <v>376</v>
      </c>
      <c r="B390" s="29"/>
      <c r="C390" s="29"/>
      <c r="D390" s="29"/>
      <c r="E390" s="29"/>
      <c r="F390" s="29"/>
      <c r="G390" s="46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59"/>
      <c r="V390" s="49"/>
      <c r="W390" s="49"/>
    </row>
    <row r="391" spans="1:23" ht="11.25" customHeight="1" x14ac:dyDescent="0.3">
      <c r="A391" s="10">
        <f t="shared" si="5"/>
        <v>377</v>
      </c>
      <c r="B391" s="29"/>
      <c r="C391" s="29"/>
      <c r="D391" s="29"/>
      <c r="E391" s="29"/>
      <c r="F391" s="29"/>
      <c r="G391" s="46"/>
      <c r="H391" s="29"/>
      <c r="I391" s="29"/>
      <c r="J391" s="29"/>
      <c r="K391" s="29"/>
      <c r="L391" s="29"/>
      <c r="M391" s="29"/>
      <c r="N391" s="29"/>
      <c r="O391" s="29"/>
      <c r="P391" s="47"/>
      <c r="Q391" s="47"/>
      <c r="R391" s="47"/>
      <c r="S391" s="29"/>
      <c r="T391" s="29"/>
      <c r="U391" s="59"/>
      <c r="V391" s="49"/>
      <c r="W391" s="49"/>
    </row>
    <row r="392" spans="1:23" ht="11.25" customHeight="1" x14ac:dyDescent="0.3">
      <c r="A392" s="10">
        <f t="shared" si="5"/>
        <v>378</v>
      </c>
      <c r="B392" s="29"/>
      <c r="C392" s="29"/>
      <c r="D392" s="29"/>
      <c r="E392" s="29"/>
      <c r="F392" s="29"/>
      <c r="G392" s="46"/>
      <c r="H392" s="29"/>
      <c r="I392" s="29"/>
      <c r="J392" s="29"/>
      <c r="K392" s="29"/>
      <c r="L392" s="29"/>
      <c r="M392" s="29"/>
      <c r="N392" s="29"/>
      <c r="O392" s="29"/>
      <c r="P392" s="47"/>
      <c r="Q392" s="47"/>
      <c r="R392" s="47"/>
      <c r="S392" s="29"/>
      <c r="T392" s="29"/>
      <c r="U392" s="59"/>
      <c r="V392" s="49"/>
      <c r="W392" s="49"/>
    </row>
    <row r="393" spans="1:23" ht="11.25" customHeight="1" x14ac:dyDescent="0.3">
      <c r="A393" s="10">
        <f t="shared" si="5"/>
        <v>379</v>
      </c>
      <c r="B393" s="29"/>
      <c r="C393" s="29"/>
      <c r="D393" s="29"/>
      <c r="E393" s="29"/>
      <c r="F393" s="29"/>
      <c r="G393" s="46"/>
      <c r="H393" s="29"/>
      <c r="I393" s="29"/>
      <c r="J393" s="29"/>
      <c r="K393" s="29"/>
      <c r="L393" s="29"/>
      <c r="M393" s="29"/>
      <c r="N393" s="29"/>
      <c r="O393" s="29"/>
      <c r="P393" s="47"/>
      <c r="Q393" s="47"/>
      <c r="R393" s="47"/>
      <c r="S393" s="29"/>
      <c r="T393" s="29"/>
      <c r="U393" s="59"/>
      <c r="V393" s="49"/>
      <c r="W393" s="49"/>
    </row>
    <row r="394" spans="1:23" ht="11.25" customHeight="1" x14ac:dyDescent="0.3">
      <c r="A394" s="10">
        <f t="shared" si="5"/>
        <v>380</v>
      </c>
      <c r="B394" s="29"/>
      <c r="C394" s="29"/>
      <c r="D394" s="29"/>
      <c r="E394" s="29"/>
      <c r="F394" s="29"/>
      <c r="G394" s="46"/>
      <c r="H394" s="29"/>
      <c r="I394" s="29"/>
      <c r="J394" s="29"/>
      <c r="K394" s="29"/>
      <c r="L394" s="29"/>
      <c r="M394" s="29"/>
      <c r="N394" s="29"/>
      <c r="O394" s="29"/>
      <c r="P394" s="47"/>
      <c r="Q394" s="47"/>
      <c r="R394" s="47"/>
      <c r="S394" s="48"/>
      <c r="T394" s="29"/>
      <c r="U394" s="59"/>
      <c r="V394" s="49"/>
      <c r="W394" s="49"/>
    </row>
    <row r="395" spans="1:23" ht="11.25" customHeight="1" x14ac:dyDescent="0.3">
      <c r="A395" s="10">
        <f t="shared" si="5"/>
        <v>381</v>
      </c>
      <c r="B395" s="29"/>
      <c r="C395" s="29"/>
      <c r="D395" s="29"/>
      <c r="E395" s="29"/>
      <c r="F395" s="29"/>
      <c r="G395" s="46"/>
      <c r="H395" s="29"/>
      <c r="I395" s="29"/>
      <c r="J395" s="29"/>
      <c r="K395" s="29"/>
      <c r="L395" s="29"/>
      <c r="M395" s="29"/>
      <c r="N395" s="29"/>
      <c r="O395" s="29"/>
      <c r="P395" s="47"/>
      <c r="Q395" s="47"/>
      <c r="R395" s="29"/>
      <c r="S395" s="29"/>
      <c r="T395" s="29"/>
      <c r="U395" s="59"/>
      <c r="V395" s="49"/>
      <c r="W395" s="49"/>
    </row>
    <row r="396" spans="1:23" ht="11.25" customHeight="1" x14ac:dyDescent="0.3">
      <c r="A396" s="10">
        <f t="shared" si="5"/>
        <v>382</v>
      </c>
      <c r="B396" s="29"/>
      <c r="C396" s="29"/>
      <c r="D396" s="29"/>
      <c r="E396" s="29"/>
      <c r="F396" s="29"/>
      <c r="G396" s="46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59"/>
      <c r="V396" s="49"/>
      <c r="W396" s="49"/>
    </row>
    <row r="397" spans="1:23" ht="11.25" customHeight="1" x14ac:dyDescent="0.3">
      <c r="A397" s="10">
        <f t="shared" si="5"/>
        <v>383</v>
      </c>
      <c r="B397" s="29"/>
      <c r="C397" s="29"/>
      <c r="D397" s="29"/>
      <c r="E397" s="29"/>
      <c r="F397" s="29"/>
      <c r="G397" s="46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59"/>
      <c r="V397" s="49"/>
      <c r="W397" s="49"/>
    </row>
    <row r="398" spans="1:23" ht="11.25" customHeight="1" x14ac:dyDescent="0.3">
      <c r="A398" s="10">
        <f t="shared" si="5"/>
        <v>384</v>
      </c>
      <c r="B398" s="29"/>
      <c r="C398" s="29"/>
      <c r="D398" s="29"/>
      <c r="E398" s="29"/>
      <c r="F398" s="29"/>
      <c r="G398" s="46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59"/>
      <c r="V398" s="49"/>
      <c r="W398" s="49"/>
    </row>
    <row r="399" spans="1:23" ht="11.25" customHeight="1" x14ac:dyDescent="0.3">
      <c r="A399" s="10">
        <f t="shared" si="5"/>
        <v>385</v>
      </c>
      <c r="B399" s="29"/>
      <c r="C399" s="29"/>
      <c r="D399" s="29"/>
      <c r="E399" s="29"/>
      <c r="F399" s="29"/>
      <c r="G399" s="46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59"/>
      <c r="V399" s="49"/>
      <c r="W399" s="49"/>
    </row>
    <row r="400" spans="1:23" ht="11.25" customHeight="1" x14ac:dyDescent="0.3">
      <c r="A400" s="10">
        <f t="shared" ref="A400:A463" si="6">ROW()-14</f>
        <v>386</v>
      </c>
      <c r="B400" s="29"/>
      <c r="C400" s="29"/>
      <c r="D400" s="29"/>
      <c r="E400" s="29"/>
      <c r="F400" s="29"/>
      <c r="G400" s="46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59"/>
      <c r="V400" s="49"/>
      <c r="W400" s="49"/>
    </row>
    <row r="401" spans="1:23" ht="11.25" customHeight="1" x14ac:dyDescent="0.3">
      <c r="A401" s="10">
        <f t="shared" si="6"/>
        <v>387</v>
      </c>
      <c r="B401" s="29"/>
      <c r="C401" s="29"/>
      <c r="D401" s="29"/>
      <c r="E401" s="29"/>
      <c r="F401" s="29"/>
      <c r="G401" s="46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59"/>
      <c r="V401" s="49"/>
      <c r="W401" s="49"/>
    </row>
    <row r="402" spans="1:23" ht="11.25" customHeight="1" x14ac:dyDescent="0.3">
      <c r="A402" s="10">
        <f t="shared" si="6"/>
        <v>388</v>
      </c>
      <c r="B402" s="29"/>
      <c r="C402" s="29"/>
      <c r="D402" s="29"/>
      <c r="E402" s="29"/>
      <c r="F402" s="29"/>
      <c r="G402" s="46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59"/>
      <c r="V402" s="49"/>
      <c r="W402" s="49"/>
    </row>
    <row r="403" spans="1:23" ht="11.25" customHeight="1" x14ac:dyDescent="0.3">
      <c r="A403" s="10">
        <f t="shared" si="6"/>
        <v>389</v>
      </c>
      <c r="B403" s="29"/>
      <c r="C403" s="29"/>
      <c r="D403" s="29"/>
      <c r="E403" s="29"/>
      <c r="F403" s="29"/>
      <c r="G403" s="46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59"/>
      <c r="V403" s="49"/>
      <c r="W403" s="49"/>
    </row>
    <row r="404" spans="1:23" ht="11.25" customHeight="1" x14ac:dyDescent="0.3">
      <c r="A404" s="10">
        <f t="shared" si="6"/>
        <v>390</v>
      </c>
      <c r="B404" s="29"/>
      <c r="C404" s="29"/>
      <c r="D404" s="29"/>
      <c r="E404" s="29"/>
      <c r="F404" s="29"/>
      <c r="G404" s="46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59"/>
      <c r="V404" s="49"/>
      <c r="W404" s="49"/>
    </row>
    <row r="405" spans="1:23" ht="11.25" customHeight="1" x14ac:dyDescent="0.3">
      <c r="A405" s="10">
        <f t="shared" si="6"/>
        <v>391</v>
      </c>
      <c r="B405" s="29"/>
      <c r="C405" s="29"/>
      <c r="D405" s="29"/>
      <c r="E405" s="29"/>
      <c r="F405" s="29"/>
      <c r="G405" s="46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59"/>
      <c r="V405" s="49"/>
      <c r="W405" s="49"/>
    </row>
    <row r="406" spans="1:23" ht="11.25" customHeight="1" x14ac:dyDescent="0.3">
      <c r="A406" s="10">
        <f t="shared" si="6"/>
        <v>392</v>
      </c>
      <c r="B406" s="29"/>
      <c r="C406" s="29"/>
      <c r="D406" s="29"/>
      <c r="E406" s="29"/>
      <c r="F406" s="29"/>
      <c r="G406" s="46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59"/>
      <c r="V406" s="49"/>
      <c r="W406" s="49"/>
    </row>
    <row r="407" spans="1:23" ht="11.25" customHeight="1" x14ac:dyDescent="0.3">
      <c r="A407" s="10">
        <f t="shared" si="6"/>
        <v>393</v>
      </c>
      <c r="B407" s="29"/>
      <c r="C407" s="29"/>
      <c r="D407" s="29"/>
      <c r="E407" s="29"/>
      <c r="F407" s="29"/>
      <c r="G407" s="46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59"/>
      <c r="V407" s="49"/>
      <c r="W407" s="49"/>
    </row>
    <row r="408" spans="1:23" ht="11.25" customHeight="1" x14ac:dyDescent="0.3">
      <c r="A408" s="10">
        <f t="shared" si="6"/>
        <v>394</v>
      </c>
      <c r="B408" s="29"/>
      <c r="C408" s="29"/>
      <c r="D408" s="29"/>
      <c r="E408" s="29"/>
      <c r="F408" s="29"/>
      <c r="G408" s="46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59"/>
      <c r="V408" s="49"/>
      <c r="W408" s="49"/>
    </row>
    <row r="409" spans="1:23" ht="11.25" customHeight="1" x14ac:dyDescent="0.3">
      <c r="A409" s="10">
        <f t="shared" si="6"/>
        <v>395</v>
      </c>
      <c r="B409" s="29"/>
      <c r="C409" s="29"/>
      <c r="D409" s="29"/>
      <c r="E409" s="29"/>
      <c r="F409" s="29"/>
      <c r="G409" s="46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59"/>
      <c r="V409" s="49"/>
      <c r="W409" s="49"/>
    </row>
    <row r="410" spans="1:23" ht="11.25" customHeight="1" x14ac:dyDescent="0.3">
      <c r="A410" s="10">
        <f t="shared" si="6"/>
        <v>396</v>
      </c>
      <c r="B410" s="29"/>
      <c r="C410" s="29"/>
      <c r="D410" s="29"/>
      <c r="E410" s="29"/>
      <c r="F410" s="29"/>
      <c r="G410" s="46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59"/>
      <c r="V410" s="49"/>
      <c r="W410" s="49"/>
    </row>
    <row r="411" spans="1:23" ht="11.25" customHeight="1" x14ac:dyDescent="0.3">
      <c r="A411" s="10">
        <f t="shared" si="6"/>
        <v>397</v>
      </c>
      <c r="B411" s="29"/>
      <c r="C411" s="29"/>
      <c r="D411" s="29"/>
      <c r="E411" s="29"/>
      <c r="F411" s="29"/>
      <c r="G411" s="46"/>
      <c r="H411" s="29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29"/>
      <c r="T411" s="29"/>
      <c r="U411" s="59"/>
      <c r="V411" s="49"/>
      <c r="W411" s="20"/>
    </row>
    <row r="412" spans="1:23" ht="11.25" customHeight="1" x14ac:dyDescent="0.3">
      <c r="A412" s="10">
        <f t="shared" si="6"/>
        <v>398</v>
      </c>
      <c r="B412" s="29"/>
      <c r="C412" s="29"/>
      <c r="D412" s="29"/>
      <c r="E412" s="29"/>
      <c r="F412" s="29"/>
      <c r="G412" s="46"/>
      <c r="H412" s="29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29"/>
      <c r="T412" s="29"/>
      <c r="U412" s="59"/>
      <c r="V412" s="49"/>
      <c r="W412" s="20"/>
    </row>
    <row r="413" spans="1:23" ht="11.25" customHeight="1" x14ac:dyDescent="0.3">
      <c r="A413" s="10">
        <f t="shared" si="6"/>
        <v>399</v>
      </c>
      <c r="B413" s="29"/>
      <c r="C413" s="29"/>
      <c r="D413" s="29"/>
      <c r="E413" s="29"/>
      <c r="F413" s="29"/>
      <c r="G413" s="46"/>
      <c r="H413" s="29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29"/>
      <c r="T413" s="29"/>
      <c r="U413" s="59"/>
      <c r="V413" s="49"/>
      <c r="W413" s="20"/>
    </row>
    <row r="414" spans="1:23" ht="11.25" customHeight="1" x14ac:dyDescent="0.3">
      <c r="A414" s="10">
        <f t="shared" si="6"/>
        <v>400</v>
      </c>
      <c r="B414" s="29"/>
      <c r="C414" s="29"/>
      <c r="D414" s="29"/>
      <c r="E414" s="29"/>
      <c r="F414" s="29"/>
      <c r="G414" s="46"/>
      <c r="H414" s="29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29"/>
      <c r="T414" s="29"/>
      <c r="U414" s="59"/>
      <c r="V414" s="49"/>
      <c r="W414" s="20"/>
    </row>
    <row r="415" spans="1:23" ht="11.25" customHeight="1" x14ac:dyDescent="0.3">
      <c r="A415" s="10">
        <f t="shared" si="6"/>
        <v>401</v>
      </c>
      <c r="B415" s="29"/>
      <c r="C415" s="29"/>
      <c r="D415" s="29"/>
      <c r="E415" s="29"/>
      <c r="F415" s="29"/>
      <c r="G415" s="46"/>
      <c r="H415" s="29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29"/>
      <c r="T415" s="29"/>
      <c r="U415" s="59"/>
      <c r="V415" s="49"/>
      <c r="W415" s="20"/>
    </row>
    <row r="416" spans="1:23" ht="11.25" customHeight="1" x14ac:dyDescent="0.3">
      <c r="A416" s="10">
        <f t="shared" si="6"/>
        <v>402</v>
      </c>
      <c r="B416" s="29"/>
      <c r="C416" s="29"/>
      <c r="D416" s="29"/>
      <c r="E416" s="29"/>
      <c r="F416" s="29"/>
      <c r="G416" s="46"/>
      <c r="H416" s="29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29"/>
      <c r="T416" s="29"/>
      <c r="U416" s="59"/>
      <c r="V416" s="49"/>
      <c r="W416" s="20"/>
    </row>
    <row r="417" spans="1:23" ht="11.25" customHeight="1" x14ac:dyDescent="0.3">
      <c r="A417" s="10">
        <f t="shared" si="6"/>
        <v>403</v>
      </c>
      <c r="B417" s="29"/>
      <c r="C417" s="29"/>
      <c r="D417" s="29"/>
      <c r="E417" s="29"/>
      <c r="F417" s="29"/>
      <c r="G417" s="46"/>
      <c r="H417" s="29"/>
      <c r="I417" s="47"/>
      <c r="J417" s="47"/>
      <c r="K417" s="47"/>
      <c r="L417" s="47"/>
      <c r="M417" s="47"/>
      <c r="N417" s="47"/>
      <c r="O417" s="30"/>
      <c r="P417" s="47"/>
      <c r="Q417" s="47"/>
      <c r="R417" s="47"/>
      <c r="S417" s="29"/>
      <c r="T417" s="29"/>
      <c r="U417" s="59"/>
      <c r="V417" s="49"/>
      <c r="W417" s="20"/>
    </row>
    <row r="418" spans="1:23" ht="11.25" customHeight="1" x14ac:dyDescent="0.3">
      <c r="A418" s="10">
        <f t="shared" si="6"/>
        <v>404</v>
      </c>
      <c r="B418" s="29"/>
      <c r="C418" s="29"/>
      <c r="D418" s="29"/>
      <c r="E418" s="29"/>
      <c r="F418" s="29"/>
      <c r="G418" s="46"/>
      <c r="H418" s="29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8"/>
      <c r="T418" s="48"/>
      <c r="U418" s="59"/>
      <c r="V418" s="49"/>
      <c r="W418" s="20"/>
    </row>
    <row r="419" spans="1:23" ht="11.25" customHeight="1" x14ac:dyDescent="0.3">
      <c r="A419" s="10">
        <f t="shared" si="6"/>
        <v>405</v>
      </c>
      <c r="B419" s="29"/>
      <c r="C419" s="29"/>
      <c r="D419" s="29"/>
      <c r="E419" s="29"/>
      <c r="F419" s="29"/>
      <c r="G419" s="46"/>
      <c r="H419" s="29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29"/>
      <c r="T419" s="29"/>
      <c r="U419" s="59"/>
      <c r="V419" s="49"/>
      <c r="W419" s="20"/>
    </row>
    <row r="420" spans="1:23" ht="11.25" customHeight="1" x14ac:dyDescent="0.3">
      <c r="A420" s="10">
        <f t="shared" si="6"/>
        <v>406</v>
      </c>
      <c r="B420" s="29"/>
      <c r="C420" s="29"/>
      <c r="D420" s="29"/>
      <c r="E420" s="29"/>
      <c r="F420" s="29"/>
      <c r="G420" s="46"/>
      <c r="H420" s="29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29"/>
      <c r="T420" s="29"/>
      <c r="U420" s="59"/>
      <c r="V420" s="49"/>
      <c r="W420" s="20"/>
    </row>
    <row r="421" spans="1:23" ht="11.25" customHeight="1" x14ac:dyDescent="0.3">
      <c r="A421" s="10">
        <f t="shared" si="6"/>
        <v>407</v>
      </c>
      <c r="B421" s="29"/>
      <c r="C421" s="29"/>
      <c r="D421" s="29"/>
      <c r="E421" s="29"/>
      <c r="F421" s="29"/>
      <c r="G421" s="46"/>
      <c r="H421" s="29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29"/>
      <c r="T421" s="29"/>
      <c r="U421" s="59"/>
      <c r="V421" s="49"/>
      <c r="W421" s="20"/>
    </row>
    <row r="422" spans="1:23" ht="11.25" customHeight="1" x14ac:dyDescent="0.3">
      <c r="A422" s="10">
        <f t="shared" si="6"/>
        <v>408</v>
      </c>
      <c r="B422" s="29"/>
      <c r="C422" s="29"/>
      <c r="D422" s="29"/>
      <c r="E422" s="29"/>
      <c r="F422" s="29"/>
      <c r="G422" s="46"/>
      <c r="H422" s="29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29"/>
      <c r="T422" s="29"/>
      <c r="U422" s="59"/>
      <c r="V422" s="49"/>
      <c r="W422" s="20"/>
    </row>
    <row r="423" spans="1:23" ht="11.25" customHeight="1" x14ac:dyDescent="0.3">
      <c r="A423" s="10">
        <f t="shared" si="6"/>
        <v>409</v>
      </c>
      <c r="B423" s="29"/>
      <c r="C423" s="29"/>
      <c r="D423" s="29"/>
      <c r="E423" s="29"/>
      <c r="F423" s="29"/>
      <c r="G423" s="46"/>
      <c r="H423" s="29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29"/>
      <c r="T423" s="29"/>
      <c r="U423" s="59"/>
      <c r="V423" s="49"/>
      <c r="W423" s="20"/>
    </row>
    <row r="424" spans="1:23" ht="11.25" customHeight="1" x14ac:dyDescent="0.3">
      <c r="A424" s="10">
        <f t="shared" si="6"/>
        <v>410</v>
      </c>
      <c r="B424" s="29"/>
      <c r="C424" s="29"/>
      <c r="D424" s="29"/>
      <c r="E424" s="29"/>
      <c r="F424" s="29"/>
      <c r="G424" s="46"/>
      <c r="H424" s="29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29"/>
      <c r="T424" s="29"/>
      <c r="U424" s="59"/>
      <c r="V424" s="49"/>
      <c r="W424" s="20"/>
    </row>
    <row r="425" spans="1:23" ht="11.25" customHeight="1" x14ac:dyDescent="0.3">
      <c r="A425" s="10">
        <f t="shared" si="6"/>
        <v>411</v>
      </c>
      <c r="B425" s="29"/>
      <c r="C425" s="29"/>
      <c r="D425" s="29"/>
      <c r="E425" s="29"/>
      <c r="F425" s="29"/>
      <c r="G425" s="46"/>
      <c r="H425" s="29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29"/>
      <c r="T425" s="29"/>
      <c r="U425" s="59"/>
      <c r="V425" s="49"/>
      <c r="W425" s="20"/>
    </row>
    <row r="426" spans="1:23" ht="11.25" customHeight="1" x14ac:dyDescent="0.3">
      <c r="A426" s="10">
        <f t="shared" si="6"/>
        <v>412</v>
      </c>
      <c r="B426" s="29"/>
      <c r="C426" s="29"/>
      <c r="D426" s="29"/>
      <c r="E426" s="29"/>
      <c r="F426" s="29"/>
      <c r="G426" s="46"/>
      <c r="H426" s="29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29"/>
      <c r="T426" s="29"/>
      <c r="U426" s="59"/>
      <c r="V426" s="49"/>
      <c r="W426" s="20"/>
    </row>
    <row r="427" spans="1:23" ht="11.25" customHeight="1" x14ac:dyDescent="0.3">
      <c r="A427" s="10">
        <f t="shared" si="6"/>
        <v>413</v>
      </c>
      <c r="B427" s="29"/>
      <c r="C427" s="29"/>
      <c r="D427" s="29"/>
      <c r="E427" s="29"/>
      <c r="F427" s="29"/>
      <c r="G427" s="46"/>
      <c r="H427" s="29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29"/>
      <c r="T427" s="29"/>
      <c r="U427" s="59"/>
      <c r="V427" s="49"/>
      <c r="W427" s="20"/>
    </row>
    <row r="428" spans="1:23" ht="11.25" customHeight="1" x14ac:dyDescent="0.3">
      <c r="A428" s="10">
        <f t="shared" si="6"/>
        <v>414</v>
      </c>
      <c r="B428" s="29"/>
      <c r="C428" s="29"/>
      <c r="D428" s="29"/>
      <c r="E428" s="29"/>
      <c r="F428" s="29"/>
      <c r="G428" s="46"/>
      <c r="H428" s="29"/>
      <c r="I428" s="47"/>
      <c r="J428" s="47"/>
      <c r="K428" s="47"/>
      <c r="L428" s="47"/>
      <c r="M428" s="47"/>
      <c r="N428" s="47"/>
      <c r="O428" s="47"/>
      <c r="P428" s="47"/>
      <c r="Q428" s="47"/>
      <c r="R428" s="29"/>
      <c r="S428" s="29"/>
      <c r="T428" s="29"/>
      <c r="U428" s="59"/>
      <c r="V428" s="49"/>
      <c r="W428" s="20"/>
    </row>
    <row r="429" spans="1:23" ht="11.25" customHeight="1" x14ac:dyDescent="0.3">
      <c r="A429" s="10">
        <f t="shared" si="6"/>
        <v>415</v>
      </c>
      <c r="B429" s="29"/>
      <c r="C429" s="29"/>
      <c r="D429" s="29"/>
      <c r="E429" s="29"/>
      <c r="F429" s="29"/>
      <c r="G429" s="46"/>
      <c r="H429" s="29"/>
      <c r="I429" s="47"/>
      <c r="J429" s="47"/>
      <c r="K429" s="47"/>
      <c r="L429" s="47"/>
      <c r="M429" s="47"/>
      <c r="N429" s="47"/>
      <c r="O429" s="47"/>
      <c r="P429" s="47"/>
      <c r="Q429" s="47"/>
      <c r="R429" s="29"/>
      <c r="S429" s="29"/>
      <c r="T429" s="29"/>
      <c r="U429" s="59"/>
      <c r="V429" s="49"/>
      <c r="W429" s="20"/>
    </row>
    <row r="430" spans="1:23" ht="11.25" customHeight="1" x14ac:dyDescent="0.3">
      <c r="A430" s="10">
        <f t="shared" si="6"/>
        <v>416</v>
      </c>
      <c r="B430" s="29"/>
      <c r="C430" s="29"/>
      <c r="D430" s="29"/>
      <c r="E430" s="29"/>
      <c r="F430" s="29"/>
      <c r="G430" s="46"/>
      <c r="H430" s="29"/>
      <c r="I430" s="47"/>
      <c r="J430" s="47"/>
      <c r="K430" s="47"/>
      <c r="L430" s="47"/>
      <c r="M430" s="47"/>
      <c r="N430" s="47"/>
      <c r="O430" s="47"/>
      <c r="P430" s="47"/>
      <c r="Q430" s="47"/>
      <c r="R430" s="29"/>
      <c r="S430" s="29"/>
      <c r="T430" s="29"/>
      <c r="U430" s="59"/>
      <c r="V430" s="49"/>
      <c r="W430" s="20"/>
    </row>
    <row r="431" spans="1:23" ht="11.25" customHeight="1" x14ac:dyDescent="0.3">
      <c r="A431" s="10">
        <f t="shared" si="6"/>
        <v>417</v>
      </c>
      <c r="B431" s="29"/>
      <c r="C431" s="29"/>
      <c r="D431" s="29"/>
      <c r="E431" s="29"/>
      <c r="F431" s="29"/>
      <c r="G431" s="46"/>
      <c r="H431" s="29"/>
      <c r="I431" s="47"/>
      <c r="J431" s="47"/>
      <c r="K431" s="47"/>
      <c r="L431" s="47"/>
      <c r="M431" s="47"/>
      <c r="N431" s="47"/>
      <c r="O431" s="47"/>
      <c r="P431" s="47"/>
      <c r="Q431" s="47"/>
      <c r="R431" s="29"/>
      <c r="S431" s="29"/>
      <c r="T431" s="29"/>
      <c r="U431" s="59"/>
      <c r="V431" s="49"/>
      <c r="W431" s="20"/>
    </row>
    <row r="432" spans="1:23" ht="11.25" customHeight="1" x14ac:dyDescent="0.3">
      <c r="A432" s="10">
        <f t="shared" si="6"/>
        <v>418</v>
      </c>
      <c r="B432" s="29"/>
      <c r="C432" s="29"/>
      <c r="D432" s="29"/>
      <c r="E432" s="29"/>
      <c r="F432" s="29"/>
      <c r="G432" s="46"/>
      <c r="H432" s="29"/>
      <c r="I432" s="47"/>
      <c r="J432" s="47"/>
      <c r="K432" s="47"/>
      <c r="L432" s="47"/>
      <c r="M432" s="47"/>
      <c r="N432" s="47"/>
      <c r="O432" s="47"/>
      <c r="P432" s="47"/>
      <c r="Q432" s="47"/>
      <c r="R432" s="29"/>
      <c r="S432" s="29"/>
      <c r="T432" s="29"/>
      <c r="U432" s="59"/>
      <c r="V432" s="49"/>
      <c r="W432" s="20"/>
    </row>
    <row r="433" spans="1:23" ht="11.25" customHeight="1" x14ac:dyDescent="0.3">
      <c r="A433" s="10">
        <f t="shared" si="6"/>
        <v>419</v>
      </c>
      <c r="B433" s="29"/>
      <c r="C433" s="29"/>
      <c r="D433" s="29"/>
      <c r="E433" s="29"/>
      <c r="F433" s="29"/>
      <c r="G433" s="46"/>
      <c r="H433" s="29"/>
      <c r="I433" s="47"/>
      <c r="J433" s="47"/>
      <c r="K433" s="47"/>
      <c r="L433" s="47"/>
      <c r="M433" s="47"/>
      <c r="N433" s="47"/>
      <c r="O433" s="47"/>
      <c r="P433" s="47"/>
      <c r="Q433" s="47"/>
      <c r="R433" s="29"/>
      <c r="S433" s="29"/>
      <c r="T433" s="29"/>
      <c r="U433" s="59"/>
      <c r="V433" s="49"/>
      <c r="W433" s="20"/>
    </row>
    <row r="434" spans="1:23" ht="11.25" customHeight="1" x14ac:dyDescent="0.3">
      <c r="A434" s="10">
        <f t="shared" si="6"/>
        <v>420</v>
      </c>
      <c r="B434" s="29"/>
      <c r="C434" s="29"/>
      <c r="D434" s="29"/>
      <c r="E434" s="29"/>
      <c r="F434" s="29"/>
      <c r="G434" s="46"/>
      <c r="H434" s="29"/>
      <c r="I434" s="47"/>
      <c r="J434" s="47"/>
      <c r="K434" s="47"/>
      <c r="L434" s="47"/>
      <c r="M434" s="47"/>
      <c r="N434" s="47"/>
      <c r="O434" s="47"/>
      <c r="P434" s="47"/>
      <c r="Q434" s="47"/>
      <c r="R434" s="29"/>
      <c r="S434" s="29"/>
      <c r="T434" s="29"/>
      <c r="U434" s="59"/>
      <c r="V434" s="49"/>
      <c r="W434" s="20"/>
    </row>
    <row r="435" spans="1:23" ht="11.25" customHeight="1" x14ac:dyDescent="0.3">
      <c r="A435" s="10">
        <f t="shared" si="6"/>
        <v>421</v>
      </c>
      <c r="B435" s="29"/>
      <c r="C435" s="29"/>
      <c r="D435" s="29"/>
      <c r="E435" s="29"/>
      <c r="F435" s="29"/>
      <c r="G435" s="46"/>
      <c r="H435" s="29"/>
      <c r="I435" s="47"/>
      <c r="J435" s="47"/>
      <c r="K435" s="47"/>
      <c r="L435" s="47"/>
      <c r="M435" s="47"/>
      <c r="N435" s="47"/>
      <c r="O435" s="47"/>
      <c r="P435" s="47"/>
      <c r="Q435" s="47"/>
      <c r="R435" s="29"/>
      <c r="S435" s="29"/>
      <c r="T435" s="29"/>
      <c r="U435" s="59"/>
      <c r="V435" s="49"/>
      <c r="W435" s="20"/>
    </row>
    <row r="436" spans="1:23" ht="11.25" customHeight="1" x14ac:dyDescent="0.3">
      <c r="A436" s="10">
        <f t="shared" si="6"/>
        <v>422</v>
      </c>
      <c r="B436" s="29"/>
      <c r="C436" s="29"/>
      <c r="D436" s="29"/>
      <c r="E436" s="29"/>
      <c r="F436" s="29"/>
      <c r="G436" s="46"/>
      <c r="H436" s="29"/>
      <c r="I436" s="47"/>
      <c r="J436" s="47"/>
      <c r="K436" s="47"/>
      <c r="L436" s="47"/>
      <c r="M436" s="47"/>
      <c r="N436" s="47"/>
      <c r="O436" s="47"/>
      <c r="P436" s="47"/>
      <c r="Q436" s="47"/>
      <c r="R436" s="29"/>
      <c r="S436" s="29"/>
      <c r="T436" s="29"/>
      <c r="U436" s="59"/>
      <c r="V436" s="49"/>
      <c r="W436" s="20"/>
    </row>
    <row r="437" spans="1:23" ht="11.25" customHeight="1" x14ac:dyDescent="0.3">
      <c r="A437" s="10">
        <f t="shared" si="6"/>
        <v>423</v>
      </c>
      <c r="B437" s="29"/>
      <c r="C437" s="29"/>
      <c r="D437" s="29"/>
      <c r="E437" s="29"/>
      <c r="F437" s="29"/>
      <c r="G437" s="46"/>
      <c r="H437" s="29"/>
      <c r="I437" s="47"/>
      <c r="J437" s="47"/>
      <c r="K437" s="47"/>
      <c r="L437" s="47"/>
      <c r="M437" s="47"/>
      <c r="N437" s="47"/>
      <c r="O437" s="47"/>
      <c r="P437" s="47"/>
      <c r="Q437" s="47"/>
      <c r="R437" s="29"/>
      <c r="S437" s="29"/>
      <c r="T437" s="29"/>
      <c r="U437" s="59"/>
      <c r="V437" s="49"/>
      <c r="W437" s="20"/>
    </row>
    <row r="438" spans="1:23" ht="11.25" customHeight="1" x14ac:dyDescent="0.3">
      <c r="A438" s="10">
        <f t="shared" si="6"/>
        <v>424</v>
      </c>
      <c r="B438" s="29"/>
      <c r="C438" s="29"/>
      <c r="D438" s="29"/>
      <c r="E438" s="29"/>
      <c r="F438" s="29"/>
      <c r="G438" s="46"/>
      <c r="H438" s="29"/>
      <c r="I438" s="47"/>
      <c r="J438" s="47"/>
      <c r="K438" s="47"/>
      <c r="L438" s="47"/>
      <c r="M438" s="47"/>
      <c r="N438" s="47"/>
      <c r="O438" s="47"/>
      <c r="P438" s="47"/>
      <c r="Q438" s="47"/>
      <c r="R438" s="29"/>
      <c r="S438" s="29"/>
      <c r="T438" s="29"/>
      <c r="U438" s="59"/>
      <c r="V438" s="49"/>
      <c r="W438" s="20"/>
    </row>
    <row r="439" spans="1:23" ht="11.25" customHeight="1" x14ac:dyDescent="0.3">
      <c r="A439" s="10">
        <f t="shared" si="6"/>
        <v>425</v>
      </c>
      <c r="B439" s="29"/>
      <c r="C439" s="29"/>
      <c r="D439" s="29"/>
      <c r="E439" s="29"/>
      <c r="F439" s="29"/>
      <c r="G439" s="46"/>
      <c r="H439" s="29"/>
      <c r="I439" s="47"/>
      <c r="J439" s="47"/>
      <c r="K439" s="47"/>
      <c r="L439" s="47"/>
      <c r="M439" s="47"/>
      <c r="N439" s="47"/>
      <c r="O439" s="47"/>
      <c r="P439" s="47"/>
      <c r="Q439" s="47"/>
      <c r="R439" s="29"/>
      <c r="S439" s="29"/>
      <c r="T439" s="29"/>
      <c r="U439" s="59"/>
      <c r="V439" s="49"/>
      <c r="W439" s="20"/>
    </row>
    <row r="440" spans="1:23" ht="11.25" customHeight="1" x14ac:dyDescent="0.3">
      <c r="A440" s="10">
        <f t="shared" si="6"/>
        <v>426</v>
      </c>
      <c r="B440" s="29"/>
      <c r="C440" s="29"/>
      <c r="D440" s="29"/>
      <c r="E440" s="29"/>
      <c r="F440" s="29"/>
      <c r="G440" s="46"/>
      <c r="H440" s="29"/>
      <c r="I440" s="47"/>
      <c r="J440" s="47"/>
      <c r="K440" s="47"/>
      <c r="L440" s="47"/>
      <c r="M440" s="47"/>
      <c r="N440" s="47"/>
      <c r="O440" s="47"/>
      <c r="P440" s="47"/>
      <c r="Q440" s="47"/>
      <c r="R440" s="29"/>
      <c r="S440" s="29"/>
      <c r="T440" s="29"/>
      <c r="U440" s="59"/>
      <c r="V440" s="49"/>
      <c r="W440" s="20"/>
    </row>
    <row r="441" spans="1:23" ht="11.25" customHeight="1" x14ac:dyDescent="0.3">
      <c r="A441" s="10">
        <f t="shared" si="6"/>
        <v>427</v>
      </c>
      <c r="B441" s="29"/>
      <c r="C441" s="29"/>
      <c r="D441" s="29"/>
      <c r="E441" s="29"/>
      <c r="F441" s="29"/>
      <c r="G441" s="46"/>
      <c r="H441" s="29"/>
      <c r="I441" s="29"/>
      <c r="J441" s="29"/>
      <c r="K441" s="29"/>
      <c r="L441" s="29"/>
      <c r="M441" s="31"/>
      <c r="N441" s="31"/>
      <c r="O441" s="31"/>
      <c r="P441" s="29"/>
      <c r="Q441" s="29"/>
      <c r="R441" s="29"/>
      <c r="S441" s="29"/>
      <c r="T441" s="29"/>
      <c r="U441" s="59"/>
      <c r="V441" s="49"/>
      <c r="W441" s="20"/>
    </row>
    <row r="442" spans="1:23" ht="11.25" customHeight="1" x14ac:dyDescent="0.3">
      <c r="A442" s="10">
        <f t="shared" si="6"/>
        <v>428</v>
      </c>
      <c r="B442" s="29"/>
      <c r="C442" s="29"/>
      <c r="D442" s="29"/>
      <c r="E442" s="29"/>
      <c r="F442" s="29"/>
      <c r="G442" s="46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59"/>
      <c r="V442" s="49"/>
      <c r="W442" s="20"/>
    </row>
    <row r="443" spans="1:23" ht="11.25" customHeight="1" x14ac:dyDescent="0.3">
      <c r="A443" s="10">
        <f t="shared" si="6"/>
        <v>429</v>
      </c>
      <c r="B443" s="29"/>
      <c r="C443" s="32"/>
      <c r="D443" s="29"/>
      <c r="E443" s="29"/>
      <c r="F443" s="29"/>
      <c r="G443" s="46"/>
      <c r="H443" s="29"/>
      <c r="I443" s="29"/>
      <c r="J443" s="33"/>
      <c r="K443" s="33"/>
      <c r="L443" s="33"/>
      <c r="M443" s="29"/>
      <c r="N443" s="29"/>
      <c r="O443" s="29"/>
      <c r="P443" s="29"/>
      <c r="Q443" s="29"/>
      <c r="R443" s="34"/>
      <c r="S443" s="29"/>
      <c r="T443" s="29"/>
      <c r="U443" s="59"/>
      <c r="V443" s="49"/>
      <c r="W443" s="20"/>
    </row>
    <row r="444" spans="1:23" ht="11.25" customHeight="1" x14ac:dyDescent="0.3">
      <c r="A444" s="10">
        <f t="shared" si="6"/>
        <v>430</v>
      </c>
      <c r="B444" s="29"/>
      <c r="C444" s="32"/>
      <c r="D444" s="29"/>
      <c r="E444" s="29"/>
      <c r="F444" s="29"/>
      <c r="G444" s="46"/>
      <c r="H444" s="29"/>
      <c r="I444" s="29"/>
      <c r="J444" s="30"/>
      <c r="K444" s="30"/>
      <c r="L444" s="30"/>
      <c r="M444" s="29"/>
      <c r="N444" s="29"/>
      <c r="O444" s="29"/>
      <c r="P444" s="29"/>
      <c r="Q444" s="29"/>
      <c r="R444" s="29"/>
      <c r="S444" s="29"/>
      <c r="T444" s="29"/>
      <c r="U444" s="59"/>
      <c r="V444" s="49"/>
      <c r="W444" s="20"/>
    </row>
    <row r="445" spans="1:23" ht="11.25" customHeight="1" x14ac:dyDescent="0.3">
      <c r="A445" s="10">
        <f t="shared" si="6"/>
        <v>431</v>
      </c>
      <c r="B445" s="29"/>
      <c r="C445" s="32"/>
      <c r="D445" s="29"/>
      <c r="E445" s="29"/>
      <c r="F445" s="29"/>
      <c r="G445" s="46"/>
      <c r="H445" s="29"/>
      <c r="I445" s="29"/>
      <c r="J445" s="30"/>
      <c r="K445" s="30"/>
      <c r="L445" s="30"/>
      <c r="M445" s="29"/>
      <c r="N445" s="29"/>
      <c r="O445" s="29"/>
      <c r="P445" s="29"/>
      <c r="Q445" s="29"/>
      <c r="R445" s="29"/>
      <c r="S445" s="29"/>
      <c r="T445" s="29"/>
      <c r="U445" s="59"/>
      <c r="V445" s="49"/>
      <c r="W445" s="20"/>
    </row>
    <row r="446" spans="1:23" ht="11.25" customHeight="1" x14ac:dyDescent="0.3">
      <c r="A446" s="10">
        <f t="shared" si="6"/>
        <v>432</v>
      </c>
      <c r="B446" s="29"/>
      <c r="C446" s="32"/>
      <c r="D446" s="29"/>
      <c r="E446" s="29"/>
      <c r="F446" s="29"/>
      <c r="G446" s="46"/>
      <c r="H446" s="29"/>
      <c r="I446" s="29"/>
      <c r="J446" s="30"/>
      <c r="K446" s="30"/>
      <c r="L446" s="30"/>
      <c r="M446" s="29"/>
      <c r="N446" s="29"/>
      <c r="O446" s="29"/>
      <c r="P446" s="29"/>
      <c r="Q446" s="29"/>
      <c r="R446" s="29"/>
      <c r="S446" s="29"/>
      <c r="T446" s="29"/>
      <c r="U446" s="59"/>
      <c r="V446" s="49"/>
      <c r="W446" s="20"/>
    </row>
    <row r="447" spans="1:23" ht="11.25" customHeight="1" x14ac:dyDescent="0.3">
      <c r="A447" s="10">
        <f t="shared" si="6"/>
        <v>433</v>
      </c>
      <c r="B447" s="29"/>
      <c r="C447" s="32"/>
      <c r="D447" s="29"/>
      <c r="E447" s="29"/>
      <c r="F447" s="29"/>
      <c r="G447" s="46"/>
      <c r="H447" s="29"/>
      <c r="I447" s="29"/>
      <c r="J447" s="30"/>
      <c r="K447" s="30"/>
      <c r="L447" s="30"/>
      <c r="M447" s="29"/>
      <c r="N447" s="29"/>
      <c r="O447" s="29"/>
      <c r="P447" s="29"/>
      <c r="Q447" s="29"/>
      <c r="R447" s="29"/>
      <c r="S447" s="29"/>
      <c r="T447" s="29"/>
      <c r="U447" s="59"/>
      <c r="V447" s="49"/>
      <c r="W447" s="20"/>
    </row>
    <row r="448" spans="1:23" ht="11.25" customHeight="1" x14ac:dyDescent="0.3">
      <c r="A448" s="10">
        <f t="shared" si="6"/>
        <v>434</v>
      </c>
      <c r="B448" s="29"/>
      <c r="C448" s="32"/>
      <c r="D448" s="29"/>
      <c r="E448" s="29"/>
      <c r="F448" s="29"/>
      <c r="G448" s="46"/>
      <c r="H448" s="29"/>
      <c r="I448" s="29"/>
      <c r="J448" s="30"/>
      <c r="K448" s="30"/>
      <c r="L448" s="30"/>
      <c r="M448" s="29"/>
      <c r="N448" s="29"/>
      <c r="O448" s="29"/>
      <c r="P448" s="29"/>
      <c r="Q448" s="29"/>
      <c r="R448" s="29"/>
      <c r="S448" s="29"/>
      <c r="T448" s="29"/>
      <c r="U448" s="59"/>
      <c r="V448" s="49"/>
      <c r="W448" s="20"/>
    </row>
    <row r="449" spans="1:23" ht="11.25" customHeight="1" x14ac:dyDescent="0.3">
      <c r="A449" s="10">
        <f t="shared" si="6"/>
        <v>435</v>
      </c>
      <c r="B449" s="29"/>
      <c r="C449" s="32"/>
      <c r="D449" s="29"/>
      <c r="E449" s="29"/>
      <c r="F449" s="29"/>
      <c r="G449" s="46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59"/>
      <c r="V449" s="49"/>
      <c r="W449" s="20"/>
    </row>
    <row r="450" spans="1:23" ht="11.25" customHeight="1" x14ac:dyDescent="0.3">
      <c r="A450" s="10">
        <f t="shared" si="6"/>
        <v>436</v>
      </c>
      <c r="B450" s="29"/>
      <c r="C450" s="29"/>
      <c r="D450" s="29"/>
      <c r="E450" s="29"/>
      <c r="F450" s="29"/>
      <c r="G450" s="46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59"/>
      <c r="V450" s="49"/>
      <c r="W450" s="20"/>
    </row>
    <row r="451" spans="1:23" ht="11.25" customHeight="1" x14ac:dyDescent="0.3">
      <c r="A451" s="10">
        <f t="shared" si="6"/>
        <v>437</v>
      </c>
      <c r="B451" s="29"/>
      <c r="C451" s="32"/>
      <c r="D451" s="29"/>
      <c r="E451" s="29"/>
      <c r="F451" s="29"/>
      <c r="G451" s="46"/>
      <c r="H451" s="29"/>
      <c r="I451" s="29"/>
      <c r="J451" s="30"/>
      <c r="K451" s="30"/>
      <c r="L451" s="30"/>
      <c r="M451" s="29"/>
      <c r="N451" s="29"/>
      <c r="O451" s="29"/>
      <c r="P451" s="29"/>
      <c r="Q451" s="29"/>
      <c r="R451" s="29"/>
      <c r="S451" s="29"/>
      <c r="T451" s="29"/>
      <c r="U451" s="59"/>
      <c r="V451" s="49"/>
      <c r="W451" s="20"/>
    </row>
    <row r="452" spans="1:23" ht="11.25" customHeight="1" x14ac:dyDescent="0.3">
      <c r="A452" s="10">
        <f t="shared" si="6"/>
        <v>438</v>
      </c>
      <c r="B452" s="29"/>
      <c r="C452" s="32"/>
      <c r="D452" s="29"/>
      <c r="E452" s="29"/>
      <c r="F452" s="29"/>
      <c r="G452" s="46"/>
      <c r="H452" s="29"/>
      <c r="I452" s="29"/>
      <c r="J452" s="30"/>
      <c r="K452" s="30"/>
      <c r="L452" s="30"/>
      <c r="M452" s="29"/>
      <c r="N452" s="29"/>
      <c r="O452" s="29"/>
      <c r="P452" s="29"/>
      <c r="Q452" s="29"/>
      <c r="R452" s="29"/>
      <c r="S452" s="29"/>
      <c r="T452" s="29"/>
      <c r="U452" s="59"/>
      <c r="V452" s="49"/>
      <c r="W452" s="20"/>
    </row>
    <row r="453" spans="1:23" ht="11.25" customHeight="1" x14ac:dyDescent="0.3">
      <c r="A453" s="10">
        <f t="shared" si="6"/>
        <v>439</v>
      </c>
      <c r="B453" s="29"/>
      <c r="C453" s="29"/>
      <c r="D453" s="29"/>
      <c r="E453" s="29"/>
      <c r="F453" s="29"/>
      <c r="G453" s="46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48"/>
      <c r="T453" s="48"/>
      <c r="U453" s="59"/>
      <c r="V453" s="49"/>
      <c r="W453" s="20"/>
    </row>
    <row r="454" spans="1:23" ht="11.25" customHeight="1" x14ac:dyDescent="0.3">
      <c r="A454" s="10">
        <f t="shared" si="6"/>
        <v>440</v>
      </c>
      <c r="B454" s="29"/>
      <c r="C454" s="32"/>
      <c r="D454" s="29"/>
      <c r="E454" s="29"/>
      <c r="F454" s="29"/>
      <c r="G454" s="46"/>
      <c r="H454" s="29"/>
      <c r="I454" s="29"/>
      <c r="J454" s="30"/>
      <c r="K454" s="30"/>
      <c r="L454" s="30"/>
      <c r="M454" s="29"/>
      <c r="N454" s="29"/>
      <c r="O454" s="29"/>
      <c r="P454" s="29"/>
      <c r="Q454" s="29"/>
      <c r="R454" s="29"/>
      <c r="S454" s="29"/>
      <c r="T454" s="29"/>
      <c r="U454" s="59"/>
      <c r="V454" s="49"/>
      <c r="W454" s="20"/>
    </row>
    <row r="455" spans="1:23" ht="11.25" customHeight="1" x14ac:dyDescent="0.3">
      <c r="A455" s="10">
        <f t="shared" si="6"/>
        <v>441</v>
      </c>
      <c r="B455" s="29"/>
      <c r="C455" s="32"/>
      <c r="D455" s="29"/>
      <c r="E455" s="29"/>
      <c r="F455" s="29"/>
      <c r="G455" s="46"/>
      <c r="H455" s="29"/>
      <c r="I455" s="29"/>
      <c r="J455" s="30"/>
      <c r="K455" s="30"/>
      <c r="L455" s="30"/>
      <c r="M455" s="29"/>
      <c r="N455" s="29"/>
      <c r="O455" s="29"/>
      <c r="P455" s="29"/>
      <c r="Q455" s="29"/>
      <c r="R455" s="29"/>
      <c r="S455" s="29"/>
      <c r="T455" s="29"/>
      <c r="U455" s="59"/>
      <c r="V455" s="49"/>
      <c r="W455" s="20"/>
    </row>
    <row r="456" spans="1:23" ht="11.25" customHeight="1" x14ac:dyDescent="0.3">
      <c r="A456" s="10">
        <f t="shared" si="6"/>
        <v>442</v>
      </c>
      <c r="B456" s="29"/>
      <c r="C456" s="32"/>
      <c r="D456" s="29"/>
      <c r="E456" s="29"/>
      <c r="F456" s="29"/>
      <c r="G456" s="46"/>
      <c r="H456" s="29"/>
      <c r="I456" s="29"/>
      <c r="J456" s="30"/>
      <c r="K456" s="30"/>
      <c r="L456" s="30"/>
      <c r="M456" s="29"/>
      <c r="N456" s="29"/>
      <c r="O456" s="29"/>
      <c r="P456" s="29"/>
      <c r="Q456" s="29"/>
      <c r="R456" s="29"/>
      <c r="S456" s="29"/>
      <c r="T456" s="29"/>
      <c r="U456" s="59"/>
      <c r="V456" s="49"/>
      <c r="W456" s="20"/>
    </row>
    <row r="457" spans="1:23" ht="11.25" customHeight="1" x14ac:dyDescent="0.3">
      <c r="A457" s="10">
        <f t="shared" si="6"/>
        <v>443</v>
      </c>
      <c r="B457" s="29"/>
      <c r="C457" s="29"/>
      <c r="D457" s="29"/>
      <c r="E457" s="29"/>
      <c r="F457" s="29"/>
      <c r="G457" s="46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59"/>
      <c r="V457" s="49"/>
      <c r="W457" s="20"/>
    </row>
    <row r="458" spans="1:23" ht="11.25" customHeight="1" x14ac:dyDescent="0.3">
      <c r="A458" s="10">
        <f t="shared" si="6"/>
        <v>444</v>
      </c>
      <c r="B458" s="29"/>
      <c r="C458" s="29"/>
      <c r="D458" s="29"/>
      <c r="E458" s="29"/>
      <c r="F458" s="29"/>
      <c r="G458" s="46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59"/>
      <c r="V458" s="49"/>
      <c r="W458" s="49"/>
    </row>
    <row r="459" spans="1:23" ht="11.25" customHeight="1" x14ac:dyDescent="0.3">
      <c r="A459" s="10">
        <f t="shared" si="6"/>
        <v>445</v>
      </c>
      <c r="B459" s="29"/>
      <c r="C459" s="29"/>
      <c r="D459" s="29"/>
      <c r="E459" s="29"/>
      <c r="F459" s="29"/>
      <c r="G459" s="46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59"/>
      <c r="V459" s="49"/>
      <c r="W459" s="49"/>
    </row>
    <row r="460" spans="1:23" ht="11.25" customHeight="1" x14ac:dyDescent="0.3">
      <c r="A460" s="10">
        <f t="shared" si="6"/>
        <v>446</v>
      </c>
      <c r="B460" s="29"/>
      <c r="C460" s="29"/>
      <c r="D460" s="29"/>
      <c r="E460" s="29"/>
      <c r="F460" s="29"/>
      <c r="G460" s="46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59"/>
      <c r="V460" s="49"/>
      <c r="W460" s="49"/>
    </row>
    <row r="461" spans="1:23" ht="11.25" customHeight="1" x14ac:dyDescent="0.3">
      <c r="A461" s="10">
        <f t="shared" si="6"/>
        <v>447</v>
      </c>
      <c r="B461" s="29"/>
      <c r="C461" s="29"/>
      <c r="D461" s="29"/>
      <c r="E461" s="29"/>
      <c r="F461" s="29"/>
      <c r="G461" s="46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59"/>
      <c r="V461" s="49"/>
      <c r="W461" s="49"/>
    </row>
    <row r="462" spans="1:23" ht="11.25" customHeight="1" x14ac:dyDescent="0.3">
      <c r="A462" s="10">
        <f t="shared" si="6"/>
        <v>448</v>
      </c>
      <c r="B462" s="29"/>
      <c r="C462" s="29"/>
      <c r="D462" s="29"/>
      <c r="E462" s="29"/>
      <c r="F462" s="29"/>
      <c r="G462" s="46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59"/>
      <c r="V462" s="49"/>
      <c r="W462" s="49"/>
    </row>
    <row r="463" spans="1:23" ht="11.25" customHeight="1" x14ac:dyDescent="0.3">
      <c r="A463" s="10">
        <f t="shared" si="6"/>
        <v>449</v>
      </c>
      <c r="B463" s="29"/>
      <c r="C463" s="29"/>
      <c r="D463" s="29"/>
      <c r="E463" s="29"/>
      <c r="F463" s="29"/>
      <c r="G463" s="46"/>
      <c r="H463" s="29"/>
      <c r="I463" s="29"/>
      <c r="J463" s="29"/>
      <c r="K463" s="29"/>
      <c r="L463" s="29"/>
      <c r="M463" s="34"/>
      <c r="N463" s="34"/>
      <c r="O463" s="29"/>
      <c r="P463" s="29"/>
      <c r="Q463" s="29"/>
      <c r="R463" s="29"/>
      <c r="S463" s="29"/>
      <c r="T463" s="29"/>
      <c r="U463" s="59"/>
      <c r="V463" s="49"/>
      <c r="W463" s="49"/>
    </row>
    <row r="464" spans="1:23" ht="11.25" customHeight="1" x14ac:dyDescent="0.3">
      <c r="A464" s="10">
        <f t="shared" ref="A464:A514" si="7">ROW()-14</f>
        <v>450</v>
      </c>
      <c r="B464" s="29"/>
      <c r="C464" s="29"/>
      <c r="D464" s="29"/>
      <c r="E464" s="29"/>
      <c r="F464" s="29"/>
      <c r="G464" s="46"/>
      <c r="H464" s="29"/>
      <c r="I464" s="29"/>
      <c r="J464" s="29"/>
      <c r="K464" s="29"/>
      <c r="L464" s="29"/>
      <c r="M464" s="34"/>
      <c r="N464" s="34"/>
      <c r="O464" s="29"/>
      <c r="P464" s="29"/>
      <c r="Q464" s="29"/>
      <c r="R464" s="29"/>
      <c r="S464" s="29"/>
      <c r="T464" s="29"/>
      <c r="U464" s="59"/>
      <c r="V464" s="49"/>
      <c r="W464" s="49"/>
    </row>
    <row r="465" spans="1:23" ht="11.25" customHeight="1" x14ac:dyDescent="0.3">
      <c r="A465" s="10">
        <f t="shared" si="7"/>
        <v>451</v>
      </c>
      <c r="B465" s="29"/>
      <c r="C465" s="29"/>
      <c r="D465" s="29"/>
      <c r="E465" s="29"/>
      <c r="F465" s="29"/>
      <c r="G465" s="46"/>
      <c r="H465" s="29"/>
      <c r="I465" s="29"/>
      <c r="J465" s="29"/>
      <c r="K465" s="29"/>
      <c r="L465" s="29"/>
      <c r="M465" s="34"/>
      <c r="N465" s="34"/>
      <c r="O465" s="29"/>
      <c r="P465" s="29"/>
      <c r="Q465" s="29"/>
      <c r="R465" s="29"/>
      <c r="S465" s="29"/>
      <c r="T465" s="29"/>
      <c r="U465" s="59"/>
      <c r="V465" s="49"/>
      <c r="W465" s="49"/>
    </row>
    <row r="466" spans="1:23" ht="11.25" customHeight="1" x14ac:dyDescent="0.3">
      <c r="A466" s="10">
        <f t="shared" si="7"/>
        <v>452</v>
      </c>
      <c r="B466" s="29"/>
      <c r="C466" s="29"/>
      <c r="D466" s="29"/>
      <c r="E466" s="29"/>
      <c r="F466" s="29"/>
      <c r="G466" s="46"/>
      <c r="H466" s="29"/>
      <c r="I466" s="29"/>
      <c r="J466" s="29"/>
      <c r="K466" s="29"/>
      <c r="L466" s="29"/>
      <c r="M466" s="29"/>
      <c r="N466" s="29"/>
      <c r="O466" s="34"/>
      <c r="P466" s="29"/>
      <c r="Q466" s="29"/>
      <c r="R466" s="29"/>
      <c r="S466" s="29"/>
      <c r="T466" s="29"/>
      <c r="U466" s="59"/>
      <c r="V466" s="49"/>
      <c r="W466" s="49"/>
    </row>
    <row r="467" spans="1:23" ht="11.25" customHeight="1" x14ac:dyDescent="0.3">
      <c r="A467" s="10">
        <f t="shared" si="7"/>
        <v>453</v>
      </c>
      <c r="B467" s="29"/>
      <c r="C467" s="29"/>
      <c r="D467" s="29"/>
      <c r="E467" s="29"/>
      <c r="F467" s="29"/>
      <c r="G467" s="46"/>
      <c r="H467" s="29"/>
      <c r="I467" s="29"/>
      <c r="J467" s="29"/>
      <c r="K467" s="29"/>
      <c r="L467" s="29"/>
      <c r="M467" s="29"/>
      <c r="N467" s="29"/>
      <c r="O467" s="34"/>
      <c r="P467" s="29"/>
      <c r="Q467" s="29"/>
      <c r="R467" s="29"/>
      <c r="S467" s="29"/>
      <c r="T467" s="29"/>
      <c r="U467" s="59"/>
      <c r="V467" s="49"/>
      <c r="W467" s="49"/>
    </row>
    <row r="468" spans="1:23" ht="11.25" customHeight="1" x14ac:dyDescent="0.3">
      <c r="A468" s="10">
        <f t="shared" si="7"/>
        <v>454</v>
      </c>
      <c r="B468" s="29"/>
      <c r="C468" s="29"/>
      <c r="D468" s="29"/>
      <c r="E468" s="29"/>
      <c r="F468" s="29"/>
      <c r="G468" s="46"/>
      <c r="H468" s="29"/>
      <c r="I468" s="29"/>
      <c r="J468" s="29"/>
      <c r="K468" s="29"/>
      <c r="L468" s="29"/>
      <c r="M468" s="34"/>
      <c r="N468" s="34"/>
      <c r="O468" s="29"/>
      <c r="P468" s="29"/>
      <c r="Q468" s="29"/>
      <c r="R468" s="29"/>
      <c r="S468" s="29"/>
      <c r="T468" s="29"/>
      <c r="U468" s="59"/>
      <c r="V468" s="49"/>
      <c r="W468" s="49"/>
    </row>
    <row r="469" spans="1:23" ht="11.25" customHeight="1" x14ac:dyDescent="0.3">
      <c r="A469" s="10">
        <f t="shared" si="7"/>
        <v>455</v>
      </c>
      <c r="B469" s="29"/>
      <c r="C469" s="29"/>
      <c r="D469" s="29"/>
      <c r="E469" s="29"/>
      <c r="F469" s="29"/>
      <c r="G469" s="46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59"/>
      <c r="V469" s="49"/>
      <c r="W469" s="49"/>
    </row>
    <row r="470" spans="1:23" ht="11.25" customHeight="1" x14ac:dyDescent="0.3">
      <c r="A470" s="10">
        <f t="shared" si="7"/>
        <v>456</v>
      </c>
      <c r="B470" s="29"/>
      <c r="C470" s="29"/>
      <c r="D470" s="29"/>
      <c r="E470" s="29"/>
      <c r="F470" s="29"/>
      <c r="G470" s="46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59"/>
      <c r="V470" s="49"/>
      <c r="W470" s="49"/>
    </row>
    <row r="471" spans="1:23" ht="11.25" customHeight="1" x14ac:dyDescent="0.3">
      <c r="A471" s="10">
        <f t="shared" si="7"/>
        <v>457</v>
      </c>
      <c r="B471" s="29"/>
      <c r="C471" s="29"/>
      <c r="D471" s="29"/>
      <c r="E471" s="29"/>
      <c r="F471" s="29"/>
      <c r="G471" s="46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59"/>
      <c r="V471" s="49"/>
      <c r="W471" s="49"/>
    </row>
    <row r="472" spans="1:23" ht="11.25" customHeight="1" x14ac:dyDescent="0.3">
      <c r="A472" s="10">
        <f t="shared" si="7"/>
        <v>458</v>
      </c>
      <c r="B472" s="29"/>
      <c r="C472" s="29"/>
      <c r="D472" s="29"/>
      <c r="E472" s="29"/>
      <c r="F472" s="29"/>
      <c r="G472" s="46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59"/>
      <c r="V472" s="49"/>
      <c r="W472" s="49"/>
    </row>
    <row r="473" spans="1:23" ht="11.25" customHeight="1" x14ac:dyDescent="0.3">
      <c r="A473" s="10">
        <f t="shared" si="7"/>
        <v>459</v>
      </c>
      <c r="B473" s="29"/>
      <c r="C473" s="29"/>
      <c r="D473" s="29"/>
      <c r="E473" s="29"/>
      <c r="F473" s="29"/>
      <c r="G473" s="46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59"/>
      <c r="V473" s="49"/>
      <c r="W473" s="49"/>
    </row>
    <row r="474" spans="1:23" ht="11.25" customHeight="1" x14ac:dyDescent="0.3">
      <c r="A474" s="10">
        <f t="shared" si="7"/>
        <v>460</v>
      </c>
      <c r="B474" s="29"/>
      <c r="C474" s="29"/>
      <c r="D474" s="29"/>
      <c r="E474" s="29"/>
      <c r="F474" s="29"/>
      <c r="G474" s="46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59"/>
      <c r="V474" s="49"/>
      <c r="W474" s="49"/>
    </row>
    <row r="475" spans="1:23" ht="11.25" customHeight="1" x14ac:dyDescent="0.3">
      <c r="A475" s="10">
        <f t="shared" si="7"/>
        <v>461</v>
      </c>
      <c r="B475" s="29"/>
      <c r="C475" s="29"/>
      <c r="D475" s="29"/>
      <c r="E475" s="29"/>
      <c r="F475" s="29"/>
      <c r="G475" s="46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59"/>
      <c r="V475" s="49"/>
      <c r="W475" s="49"/>
    </row>
    <row r="476" spans="1:23" ht="11.25" customHeight="1" x14ac:dyDescent="0.3">
      <c r="A476" s="10">
        <f t="shared" si="7"/>
        <v>462</v>
      </c>
      <c r="B476" s="29"/>
      <c r="C476" s="29"/>
      <c r="D476" s="29"/>
      <c r="E476" s="29"/>
      <c r="F476" s="29"/>
      <c r="G476" s="46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59"/>
      <c r="V476" s="49"/>
      <c r="W476" s="49"/>
    </row>
    <row r="477" spans="1:23" ht="11.25" customHeight="1" x14ac:dyDescent="0.3">
      <c r="A477" s="10">
        <f t="shared" si="7"/>
        <v>463</v>
      </c>
      <c r="B477" s="29"/>
      <c r="C477" s="29"/>
      <c r="D477" s="29"/>
      <c r="E477" s="29"/>
      <c r="F477" s="29"/>
      <c r="G477" s="46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59"/>
      <c r="V477" s="49"/>
      <c r="W477" s="49"/>
    </row>
    <row r="478" spans="1:23" ht="11.25" customHeight="1" x14ac:dyDescent="0.3">
      <c r="A478" s="10">
        <f t="shared" si="7"/>
        <v>464</v>
      </c>
      <c r="B478" s="29"/>
      <c r="C478" s="29"/>
      <c r="D478" s="29"/>
      <c r="E478" s="29"/>
      <c r="F478" s="29"/>
      <c r="G478" s="46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59"/>
      <c r="V478" s="49"/>
      <c r="W478" s="49"/>
    </row>
    <row r="479" spans="1:23" ht="11.25" customHeight="1" x14ac:dyDescent="0.3">
      <c r="A479" s="10">
        <f t="shared" si="7"/>
        <v>465</v>
      </c>
      <c r="B479" s="29"/>
      <c r="C479" s="29"/>
      <c r="D479" s="29"/>
      <c r="E479" s="29"/>
      <c r="F479" s="29"/>
      <c r="G479" s="46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59"/>
      <c r="V479" s="49"/>
      <c r="W479" s="49"/>
    </row>
    <row r="480" spans="1:23" ht="11.25" customHeight="1" x14ac:dyDescent="0.3">
      <c r="A480" s="10">
        <f t="shared" si="7"/>
        <v>466</v>
      </c>
      <c r="B480" s="29"/>
      <c r="C480" s="29"/>
      <c r="D480" s="29"/>
      <c r="E480" s="29"/>
      <c r="F480" s="29"/>
      <c r="G480" s="46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59"/>
      <c r="V480" s="49"/>
      <c r="W480" s="49"/>
    </row>
    <row r="481" spans="1:23" ht="11.25" customHeight="1" x14ac:dyDescent="0.3">
      <c r="A481" s="10">
        <f t="shared" si="7"/>
        <v>467</v>
      </c>
      <c r="B481" s="29"/>
      <c r="C481" s="29"/>
      <c r="D481" s="29"/>
      <c r="E481" s="29"/>
      <c r="F481" s="29"/>
      <c r="G481" s="46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59"/>
      <c r="V481" s="49"/>
      <c r="W481" s="49"/>
    </row>
    <row r="482" spans="1:23" ht="11.25" customHeight="1" x14ac:dyDescent="0.3">
      <c r="A482" s="10">
        <f t="shared" si="7"/>
        <v>468</v>
      </c>
      <c r="B482" s="29"/>
      <c r="C482" s="29"/>
      <c r="D482" s="29"/>
      <c r="E482" s="29"/>
      <c r="F482" s="29"/>
      <c r="G482" s="46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59"/>
      <c r="V482" s="49"/>
      <c r="W482" s="49"/>
    </row>
    <row r="483" spans="1:23" ht="11.25" customHeight="1" x14ac:dyDescent="0.3">
      <c r="A483" s="10">
        <f t="shared" si="7"/>
        <v>469</v>
      </c>
      <c r="B483" s="29"/>
      <c r="C483" s="29"/>
      <c r="D483" s="29"/>
      <c r="E483" s="29"/>
      <c r="F483" s="29"/>
      <c r="G483" s="46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59"/>
      <c r="V483" s="49"/>
      <c r="W483" s="49"/>
    </row>
    <row r="484" spans="1:23" ht="11.25" customHeight="1" x14ac:dyDescent="0.3">
      <c r="A484" s="10">
        <f t="shared" si="7"/>
        <v>470</v>
      </c>
      <c r="B484" s="29"/>
      <c r="C484" s="29"/>
      <c r="D484" s="29"/>
      <c r="E484" s="29"/>
      <c r="F484" s="29"/>
      <c r="G484" s="46"/>
      <c r="H484" s="29"/>
      <c r="I484" s="29"/>
      <c r="J484" s="29"/>
      <c r="K484" s="29"/>
      <c r="L484" s="29"/>
      <c r="M484" s="29"/>
      <c r="N484" s="29"/>
      <c r="O484" s="31"/>
      <c r="P484" s="29"/>
      <c r="Q484" s="29"/>
      <c r="R484" s="29"/>
      <c r="S484" s="29"/>
      <c r="T484" s="29"/>
      <c r="U484" s="59"/>
      <c r="V484" s="49"/>
      <c r="W484" s="49"/>
    </row>
    <row r="485" spans="1:23" ht="11.25" customHeight="1" x14ac:dyDescent="0.3">
      <c r="A485" s="10">
        <f t="shared" si="7"/>
        <v>471</v>
      </c>
      <c r="B485" s="29"/>
      <c r="C485" s="29"/>
      <c r="D485" s="29"/>
      <c r="E485" s="29"/>
      <c r="F485" s="29"/>
      <c r="G485" s="46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59"/>
      <c r="V485" s="49"/>
      <c r="W485" s="49"/>
    </row>
    <row r="486" spans="1:23" ht="11.25" customHeight="1" x14ac:dyDescent="0.3">
      <c r="A486" s="10">
        <f t="shared" si="7"/>
        <v>472</v>
      </c>
      <c r="B486" s="29"/>
      <c r="C486" s="29"/>
      <c r="D486" s="29"/>
      <c r="E486" s="29"/>
      <c r="F486" s="29"/>
      <c r="G486" s="46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59"/>
      <c r="V486" s="49"/>
      <c r="W486" s="49"/>
    </row>
    <row r="487" spans="1:23" ht="11.25" customHeight="1" x14ac:dyDescent="0.3">
      <c r="A487" s="10">
        <f t="shared" si="7"/>
        <v>473</v>
      </c>
      <c r="B487" s="29"/>
      <c r="C487" s="29"/>
      <c r="D487" s="29"/>
      <c r="E487" s="29"/>
      <c r="F487" s="29"/>
      <c r="G487" s="46"/>
      <c r="H487" s="29"/>
      <c r="I487" s="29"/>
      <c r="J487" s="29"/>
      <c r="K487" s="29"/>
      <c r="L487" s="29"/>
      <c r="M487" s="31"/>
      <c r="N487" s="31"/>
      <c r="O487" s="29"/>
      <c r="P487" s="29"/>
      <c r="Q487" s="29"/>
      <c r="R487" s="29"/>
      <c r="S487" s="29"/>
      <c r="T487" s="29"/>
      <c r="U487" s="59"/>
      <c r="V487" s="49"/>
      <c r="W487" s="49"/>
    </row>
    <row r="488" spans="1:23" ht="11.25" customHeight="1" x14ac:dyDescent="0.3">
      <c r="A488" s="10">
        <f t="shared" si="7"/>
        <v>474</v>
      </c>
      <c r="B488" s="29"/>
      <c r="C488" s="29"/>
      <c r="D488" s="29"/>
      <c r="E488" s="29"/>
      <c r="F488" s="29"/>
      <c r="G488" s="46"/>
      <c r="H488" s="29"/>
      <c r="I488" s="29"/>
      <c r="J488" s="29"/>
      <c r="K488" s="29"/>
      <c r="L488" s="29"/>
      <c r="M488" s="31"/>
      <c r="N488" s="31"/>
      <c r="O488" s="29"/>
      <c r="P488" s="29"/>
      <c r="Q488" s="29"/>
      <c r="R488" s="29"/>
      <c r="S488" s="29"/>
      <c r="T488" s="29"/>
      <c r="U488" s="59"/>
      <c r="V488" s="49"/>
      <c r="W488" s="49"/>
    </row>
    <row r="489" spans="1:23" ht="11.25" customHeight="1" x14ac:dyDescent="0.3">
      <c r="A489" s="10">
        <f t="shared" si="7"/>
        <v>475</v>
      </c>
      <c r="B489" s="29"/>
      <c r="C489" s="29"/>
      <c r="D489" s="29"/>
      <c r="E489" s="29"/>
      <c r="F489" s="29"/>
      <c r="G489" s="46"/>
      <c r="H489" s="29"/>
      <c r="I489" s="29"/>
      <c r="J489" s="29"/>
      <c r="K489" s="29"/>
      <c r="L489" s="29"/>
      <c r="M489" s="31"/>
      <c r="N489" s="31"/>
      <c r="O489" s="29"/>
      <c r="P489" s="29"/>
      <c r="Q489" s="29"/>
      <c r="R489" s="29"/>
      <c r="S489" s="29"/>
      <c r="T489" s="29"/>
      <c r="U489" s="59"/>
      <c r="V489" s="49"/>
      <c r="W489" s="49"/>
    </row>
    <row r="490" spans="1:23" ht="11.25" customHeight="1" x14ac:dyDescent="0.3">
      <c r="A490" s="10">
        <f t="shared" si="7"/>
        <v>476</v>
      </c>
      <c r="B490" s="29"/>
      <c r="C490" s="29"/>
      <c r="D490" s="29"/>
      <c r="E490" s="29"/>
      <c r="F490" s="29"/>
      <c r="G490" s="46"/>
      <c r="H490" s="29"/>
      <c r="I490" s="29"/>
      <c r="J490" s="29"/>
      <c r="K490" s="29"/>
      <c r="L490" s="29"/>
      <c r="M490" s="31"/>
      <c r="N490" s="31"/>
      <c r="O490" s="29"/>
      <c r="P490" s="29"/>
      <c r="Q490" s="29"/>
      <c r="R490" s="29"/>
      <c r="S490" s="29"/>
      <c r="T490" s="29"/>
      <c r="U490" s="59"/>
      <c r="V490" s="49"/>
      <c r="W490" s="49"/>
    </row>
    <row r="491" spans="1:23" ht="11.25" customHeight="1" x14ac:dyDescent="0.3">
      <c r="A491" s="10">
        <f t="shared" si="7"/>
        <v>477</v>
      </c>
      <c r="B491" s="29"/>
      <c r="C491" s="29"/>
      <c r="D491" s="29"/>
      <c r="E491" s="29"/>
      <c r="F491" s="29"/>
      <c r="G491" s="46"/>
      <c r="H491" s="29"/>
      <c r="I491" s="29"/>
      <c r="J491" s="29"/>
      <c r="K491" s="29"/>
      <c r="L491" s="29"/>
      <c r="M491" s="31"/>
      <c r="N491" s="31"/>
      <c r="O491" s="29"/>
      <c r="P491" s="29"/>
      <c r="Q491" s="29"/>
      <c r="R491" s="29"/>
      <c r="S491" s="29"/>
      <c r="T491" s="29"/>
      <c r="U491" s="59"/>
      <c r="V491" s="49"/>
      <c r="W491" s="49"/>
    </row>
    <row r="492" spans="1:23" ht="11.25" customHeight="1" x14ac:dyDescent="0.3">
      <c r="A492" s="10">
        <f t="shared" si="7"/>
        <v>478</v>
      </c>
      <c r="B492" s="29"/>
      <c r="C492" s="29"/>
      <c r="D492" s="29"/>
      <c r="E492" s="29"/>
      <c r="F492" s="29"/>
      <c r="G492" s="46"/>
      <c r="H492" s="29"/>
      <c r="I492" s="29"/>
      <c r="J492" s="29"/>
      <c r="K492" s="29"/>
      <c r="L492" s="29"/>
      <c r="M492" s="31"/>
      <c r="N492" s="31"/>
      <c r="O492" s="29"/>
      <c r="P492" s="29"/>
      <c r="Q492" s="29"/>
      <c r="R492" s="29"/>
      <c r="S492" s="29"/>
      <c r="T492" s="29"/>
      <c r="U492" s="59"/>
      <c r="V492" s="49"/>
      <c r="W492" s="49"/>
    </row>
    <row r="493" spans="1:23" ht="11.25" customHeight="1" x14ac:dyDescent="0.3">
      <c r="A493" s="10">
        <f t="shared" si="7"/>
        <v>479</v>
      </c>
      <c r="B493" s="29"/>
      <c r="C493" s="29"/>
      <c r="D493" s="29"/>
      <c r="E493" s="29"/>
      <c r="F493" s="29"/>
      <c r="G493" s="46"/>
      <c r="H493" s="29"/>
      <c r="I493" s="29"/>
      <c r="J493" s="29"/>
      <c r="K493" s="29"/>
      <c r="L493" s="29"/>
      <c r="M493" s="31"/>
      <c r="N493" s="31"/>
      <c r="O493" s="29"/>
      <c r="P493" s="29"/>
      <c r="Q493" s="29"/>
      <c r="R493" s="29"/>
      <c r="S493" s="29"/>
      <c r="T493" s="29"/>
      <c r="U493" s="59"/>
      <c r="V493" s="49"/>
      <c r="W493" s="49"/>
    </row>
    <row r="494" spans="1:23" ht="11.25" customHeight="1" x14ac:dyDescent="0.3">
      <c r="A494" s="10">
        <f t="shared" si="7"/>
        <v>480</v>
      </c>
      <c r="B494" s="29"/>
      <c r="C494" s="29"/>
      <c r="D494" s="29"/>
      <c r="E494" s="29"/>
      <c r="F494" s="29"/>
      <c r="G494" s="46"/>
      <c r="H494" s="29"/>
      <c r="I494" s="29"/>
      <c r="J494" s="29"/>
      <c r="K494" s="29"/>
      <c r="L494" s="29"/>
      <c r="M494" s="31"/>
      <c r="N494" s="31"/>
      <c r="O494" s="29"/>
      <c r="P494" s="29"/>
      <c r="Q494" s="29"/>
      <c r="R494" s="29"/>
      <c r="S494" s="29"/>
      <c r="T494" s="29"/>
      <c r="U494" s="59"/>
      <c r="V494" s="49"/>
      <c r="W494" s="49"/>
    </row>
    <row r="495" spans="1:23" ht="11.25" customHeight="1" x14ac:dyDescent="0.3">
      <c r="A495" s="10">
        <f t="shared" si="7"/>
        <v>481</v>
      </c>
      <c r="B495" s="29"/>
      <c r="C495" s="29"/>
      <c r="D495" s="29"/>
      <c r="E495" s="29"/>
      <c r="F495" s="29"/>
      <c r="G495" s="46"/>
      <c r="H495" s="29"/>
      <c r="I495" s="29"/>
      <c r="J495" s="29"/>
      <c r="K495" s="29"/>
      <c r="L495" s="29"/>
      <c r="M495" s="31"/>
      <c r="N495" s="31"/>
      <c r="O495" s="29"/>
      <c r="P495" s="29"/>
      <c r="Q495" s="29"/>
      <c r="R495" s="29"/>
      <c r="S495" s="29"/>
      <c r="T495" s="29"/>
      <c r="U495" s="59"/>
      <c r="V495" s="49"/>
      <c r="W495" s="49"/>
    </row>
    <row r="496" spans="1:23" ht="11.25" customHeight="1" x14ac:dyDescent="0.3">
      <c r="A496" s="10">
        <f t="shared" si="7"/>
        <v>482</v>
      </c>
      <c r="B496" s="29"/>
      <c r="C496" s="29"/>
      <c r="D496" s="29"/>
      <c r="E496" s="29"/>
      <c r="F496" s="29"/>
      <c r="G496" s="46"/>
      <c r="H496" s="29"/>
      <c r="I496" s="29"/>
      <c r="J496" s="29"/>
      <c r="K496" s="29"/>
      <c r="L496" s="29"/>
      <c r="M496" s="31"/>
      <c r="N496" s="31"/>
      <c r="O496" s="29"/>
      <c r="P496" s="29"/>
      <c r="Q496" s="29"/>
      <c r="R496" s="29"/>
      <c r="S496" s="29"/>
      <c r="T496" s="29"/>
      <c r="U496" s="59"/>
      <c r="V496" s="49"/>
      <c r="W496" s="49"/>
    </row>
    <row r="497" spans="1:23" ht="11.25" customHeight="1" x14ac:dyDescent="0.3">
      <c r="A497" s="10">
        <f t="shared" si="7"/>
        <v>483</v>
      </c>
      <c r="B497" s="29"/>
      <c r="C497" s="29"/>
      <c r="D497" s="29"/>
      <c r="E497" s="29"/>
      <c r="F497" s="29"/>
      <c r="G497" s="46"/>
      <c r="H497" s="29"/>
      <c r="I497" s="29"/>
      <c r="J497" s="29"/>
      <c r="K497" s="29"/>
      <c r="L497" s="29"/>
      <c r="M497" s="31"/>
      <c r="N497" s="31"/>
      <c r="O497" s="29"/>
      <c r="P497" s="29"/>
      <c r="Q497" s="29"/>
      <c r="R497" s="29"/>
      <c r="S497" s="29"/>
      <c r="T497" s="29"/>
      <c r="U497" s="59"/>
      <c r="V497" s="49"/>
      <c r="W497" s="49"/>
    </row>
    <row r="498" spans="1:23" ht="11.25" customHeight="1" x14ac:dyDescent="0.3">
      <c r="A498" s="10">
        <f t="shared" si="7"/>
        <v>484</v>
      </c>
      <c r="B498" s="29"/>
      <c r="C498" s="29"/>
      <c r="D498" s="29"/>
      <c r="E498" s="29"/>
      <c r="F498" s="29"/>
      <c r="G498" s="46"/>
      <c r="H498" s="29"/>
      <c r="I498" s="29"/>
      <c r="J498" s="29"/>
      <c r="K498" s="29"/>
      <c r="L498" s="29"/>
      <c r="M498" s="31"/>
      <c r="N498" s="31"/>
      <c r="O498" s="29"/>
      <c r="P498" s="29"/>
      <c r="Q498" s="29"/>
      <c r="R498" s="29"/>
      <c r="S498" s="29"/>
      <c r="T498" s="29"/>
      <c r="U498" s="59"/>
      <c r="V498" s="49"/>
      <c r="W498" s="49"/>
    </row>
    <row r="499" spans="1:23" ht="11.25" customHeight="1" x14ac:dyDescent="0.3">
      <c r="A499" s="10">
        <f t="shared" si="7"/>
        <v>485</v>
      </c>
      <c r="B499" s="29"/>
      <c r="C499" s="29"/>
      <c r="D499" s="29"/>
      <c r="E499" s="29"/>
      <c r="F499" s="29"/>
      <c r="G499" s="46"/>
      <c r="H499" s="29"/>
      <c r="I499" s="29"/>
      <c r="J499" s="29"/>
      <c r="K499" s="29"/>
      <c r="L499" s="29"/>
      <c r="M499" s="31"/>
      <c r="N499" s="31"/>
      <c r="O499" s="29"/>
      <c r="P499" s="29"/>
      <c r="Q499" s="29"/>
      <c r="R499" s="29"/>
      <c r="S499" s="29"/>
      <c r="T499" s="29"/>
      <c r="U499" s="59"/>
      <c r="V499" s="49"/>
      <c r="W499" s="49"/>
    </row>
    <row r="500" spans="1:23" ht="11.25" customHeight="1" x14ac:dyDescent="0.3">
      <c r="A500" s="10">
        <f t="shared" si="7"/>
        <v>486</v>
      </c>
      <c r="B500" s="29"/>
      <c r="C500" s="29"/>
      <c r="D500" s="29"/>
      <c r="E500" s="29"/>
      <c r="F500" s="29"/>
      <c r="G500" s="46"/>
      <c r="H500" s="29"/>
      <c r="I500" s="29"/>
      <c r="J500" s="29"/>
      <c r="K500" s="29"/>
      <c r="L500" s="29"/>
      <c r="M500" s="31"/>
      <c r="N500" s="31"/>
      <c r="O500" s="29"/>
      <c r="P500" s="29"/>
      <c r="Q500" s="29"/>
      <c r="R500" s="29"/>
      <c r="S500" s="29"/>
      <c r="T500" s="29"/>
      <c r="U500" s="59"/>
      <c r="V500" s="49"/>
      <c r="W500" s="49"/>
    </row>
    <row r="501" spans="1:23" ht="11.25" customHeight="1" x14ac:dyDescent="0.3">
      <c r="A501" s="10">
        <f t="shared" si="7"/>
        <v>487</v>
      </c>
      <c r="B501" s="29"/>
      <c r="C501" s="29"/>
      <c r="D501" s="29"/>
      <c r="E501" s="29"/>
      <c r="F501" s="29"/>
      <c r="G501" s="46"/>
      <c r="H501" s="29"/>
      <c r="I501" s="29"/>
      <c r="J501" s="29"/>
      <c r="K501" s="29"/>
      <c r="L501" s="29"/>
      <c r="M501" s="31"/>
      <c r="N501" s="31"/>
      <c r="O501" s="29"/>
      <c r="P501" s="29"/>
      <c r="Q501" s="29"/>
      <c r="R501" s="29"/>
      <c r="S501" s="29"/>
      <c r="T501" s="29"/>
      <c r="U501" s="59"/>
      <c r="V501" s="49"/>
      <c r="W501" s="49"/>
    </row>
    <row r="502" spans="1:23" ht="11.25" customHeight="1" x14ac:dyDescent="0.3">
      <c r="A502" s="10">
        <f t="shared" si="7"/>
        <v>488</v>
      </c>
      <c r="B502" s="29"/>
      <c r="C502" s="29"/>
      <c r="D502" s="29"/>
      <c r="E502" s="29"/>
      <c r="F502" s="29"/>
      <c r="G502" s="46"/>
      <c r="H502" s="29"/>
      <c r="I502" s="29"/>
      <c r="J502" s="29"/>
      <c r="K502" s="29"/>
      <c r="L502" s="29"/>
      <c r="M502" s="31"/>
      <c r="N502" s="31"/>
      <c r="O502" s="29"/>
      <c r="P502" s="29"/>
      <c r="Q502" s="29"/>
      <c r="R502" s="29"/>
      <c r="S502" s="29"/>
      <c r="T502" s="29"/>
      <c r="U502" s="59"/>
      <c r="V502" s="49"/>
      <c r="W502" s="49"/>
    </row>
    <row r="503" spans="1:23" ht="11.25" customHeight="1" x14ac:dyDescent="0.3">
      <c r="A503" s="10">
        <f t="shared" si="7"/>
        <v>489</v>
      </c>
      <c r="B503" s="29"/>
      <c r="C503" s="29"/>
      <c r="D503" s="29"/>
      <c r="E503" s="29"/>
      <c r="F503" s="29"/>
      <c r="G503" s="46"/>
      <c r="H503" s="29"/>
      <c r="I503" s="29"/>
      <c r="J503" s="29"/>
      <c r="K503" s="29"/>
      <c r="L503" s="29"/>
      <c r="M503" s="31"/>
      <c r="N503" s="31"/>
      <c r="O503" s="29"/>
      <c r="P503" s="29"/>
      <c r="Q503" s="29"/>
      <c r="R503" s="29"/>
      <c r="S503" s="29"/>
      <c r="T503" s="29"/>
      <c r="U503" s="59"/>
      <c r="V503" s="49"/>
      <c r="W503" s="49"/>
    </row>
    <row r="504" spans="1:23" ht="11.25" customHeight="1" x14ac:dyDescent="0.3">
      <c r="A504" s="10">
        <f t="shared" si="7"/>
        <v>490</v>
      </c>
      <c r="B504" s="29"/>
      <c r="C504" s="29"/>
      <c r="D504" s="29"/>
      <c r="E504" s="29"/>
      <c r="F504" s="29"/>
      <c r="G504" s="46"/>
      <c r="H504" s="29"/>
      <c r="I504" s="29"/>
      <c r="J504" s="29"/>
      <c r="K504" s="29"/>
      <c r="L504" s="29"/>
      <c r="M504" s="31"/>
      <c r="N504" s="31"/>
      <c r="O504" s="29"/>
      <c r="P504" s="29"/>
      <c r="Q504" s="29"/>
      <c r="R504" s="29"/>
      <c r="S504" s="29"/>
      <c r="T504" s="29"/>
      <c r="U504" s="59"/>
      <c r="V504" s="49"/>
      <c r="W504" s="49"/>
    </row>
    <row r="505" spans="1:23" ht="11.25" customHeight="1" x14ac:dyDescent="0.3">
      <c r="A505" s="10">
        <f t="shared" si="7"/>
        <v>491</v>
      </c>
      <c r="B505" s="29"/>
      <c r="C505" s="29"/>
      <c r="D505" s="29"/>
      <c r="E505" s="29"/>
      <c r="F505" s="29"/>
      <c r="G505" s="46"/>
      <c r="H505" s="29"/>
      <c r="I505" s="29"/>
      <c r="J505" s="29"/>
      <c r="K505" s="29"/>
      <c r="L505" s="29"/>
      <c r="M505" s="31"/>
      <c r="N505" s="31"/>
      <c r="O505" s="29"/>
      <c r="P505" s="29"/>
      <c r="Q505" s="29"/>
      <c r="R505" s="29"/>
      <c r="S505" s="29"/>
      <c r="T505" s="29"/>
      <c r="U505" s="59"/>
      <c r="V505" s="49"/>
      <c r="W505" s="49"/>
    </row>
    <row r="506" spans="1:23" ht="11.25" customHeight="1" x14ac:dyDescent="0.3">
      <c r="A506" s="10">
        <f t="shared" si="7"/>
        <v>492</v>
      </c>
      <c r="B506" s="29"/>
      <c r="C506" s="29"/>
      <c r="D506" s="29"/>
      <c r="E506" s="29"/>
      <c r="F506" s="29"/>
      <c r="G506" s="46"/>
      <c r="H506" s="29"/>
      <c r="I506" s="29"/>
      <c r="J506" s="29"/>
      <c r="K506" s="29"/>
      <c r="L506" s="29"/>
      <c r="M506" s="31"/>
      <c r="N506" s="31"/>
      <c r="O506" s="29"/>
      <c r="P506" s="29"/>
      <c r="Q506" s="29"/>
      <c r="R506" s="29"/>
      <c r="S506" s="29"/>
      <c r="T506" s="29"/>
      <c r="U506" s="59"/>
      <c r="V506" s="49"/>
      <c r="W506" s="49"/>
    </row>
    <row r="507" spans="1:23" ht="11.25" customHeight="1" x14ac:dyDescent="0.3">
      <c r="A507" s="10">
        <f t="shared" si="7"/>
        <v>493</v>
      </c>
      <c r="B507" s="29"/>
      <c r="C507" s="29"/>
      <c r="D507" s="29"/>
      <c r="E507" s="29"/>
      <c r="F507" s="29"/>
      <c r="G507" s="46"/>
      <c r="H507" s="29"/>
      <c r="I507" s="29"/>
      <c r="J507" s="29"/>
      <c r="K507" s="29"/>
      <c r="L507" s="29"/>
      <c r="M507" s="31"/>
      <c r="N507" s="31"/>
      <c r="O507" s="29"/>
      <c r="P507" s="29"/>
      <c r="Q507" s="29"/>
      <c r="R507" s="29"/>
      <c r="S507" s="29"/>
      <c r="T507" s="29"/>
      <c r="U507" s="59"/>
      <c r="V507" s="49"/>
      <c r="W507" s="49"/>
    </row>
    <row r="508" spans="1:23" ht="11.25" customHeight="1" x14ac:dyDescent="0.3">
      <c r="A508" s="10">
        <f t="shared" si="7"/>
        <v>494</v>
      </c>
      <c r="B508" s="29"/>
      <c r="C508" s="29"/>
      <c r="D508" s="29"/>
      <c r="E508" s="29"/>
      <c r="F508" s="29"/>
      <c r="G508" s="46"/>
      <c r="H508" s="29"/>
      <c r="I508" s="29"/>
      <c r="J508" s="29"/>
      <c r="K508" s="29"/>
      <c r="L508" s="29"/>
      <c r="M508" s="31"/>
      <c r="N508" s="31"/>
      <c r="O508" s="29"/>
      <c r="P508" s="29"/>
      <c r="Q508" s="29"/>
      <c r="R508" s="29"/>
      <c r="S508" s="29"/>
      <c r="T508" s="29"/>
      <c r="U508" s="59"/>
      <c r="V508" s="49"/>
      <c r="W508" s="49"/>
    </row>
    <row r="509" spans="1:23" ht="11.25" customHeight="1" x14ac:dyDescent="0.3">
      <c r="A509" s="10">
        <f t="shared" si="7"/>
        <v>495</v>
      </c>
      <c r="B509" s="29"/>
      <c r="C509" s="29"/>
      <c r="D509" s="29"/>
      <c r="E509" s="29"/>
      <c r="F509" s="29"/>
      <c r="G509" s="46"/>
      <c r="H509" s="29"/>
      <c r="I509" s="29"/>
      <c r="J509" s="29"/>
      <c r="K509" s="29"/>
      <c r="L509" s="29"/>
      <c r="M509" s="31"/>
      <c r="N509" s="31"/>
      <c r="O509" s="29"/>
      <c r="P509" s="29"/>
      <c r="Q509" s="29"/>
      <c r="R509" s="29"/>
      <c r="S509" s="29"/>
      <c r="T509" s="29"/>
      <c r="U509" s="59"/>
      <c r="V509" s="49"/>
      <c r="W509" s="49"/>
    </row>
    <row r="510" spans="1:23" ht="11.25" customHeight="1" x14ac:dyDescent="0.3">
      <c r="A510" s="10">
        <f t="shared" si="7"/>
        <v>496</v>
      </c>
      <c r="B510" s="29"/>
      <c r="C510" s="29"/>
      <c r="D510" s="29"/>
      <c r="E510" s="29"/>
      <c r="F510" s="29"/>
      <c r="G510" s="46"/>
      <c r="H510" s="29"/>
      <c r="I510" s="29"/>
      <c r="J510" s="29"/>
      <c r="K510" s="29"/>
      <c r="L510" s="29"/>
      <c r="M510" s="31"/>
      <c r="N510" s="31"/>
      <c r="O510" s="29"/>
      <c r="P510" s="29"/>
      <c r="Q510" s="29"/>
      <c r="R510" s="29"/>
      <c r="S510" s="29"/>
      <c r="T510" s="29"/>
      <c r="U510" s="59"/>
      <c r="V510" s="49"/>
      <c r="W510" s="49"/>
    </row>
    <row r="511" spans="1:23" ht="11.25" customHeight="1" x14ac:dyDescent="0.3">
      <c r="A511" s="10">
        <f t="shared" si="7"/>
        <v>497</v>
      </c>
      <c r="B511" s="29"/>
      <c r="C511" s="29"/>
      <c r="D511" s="29"/>
      <c r="E511" s="29"/>
      <c r="F511" s="29"/>
      <c r="G511" s="46"/>
      <c r="H511" s="29"/>
      <c r="I511" s="29"/>
      <c r="J511" s="29"/>
      <c r="K511" s="29"/>
      <c r="L511" s="29"/>
      <c r="M511" s="31"/>
      <c r="N511" s="31"/>
      <c r="O511" s="29"/>
      <c r="P511" s="29"/>
      <c r="Q511" s="29"/>
      <c r="R511" s="29"/>
      <c r="S511" s="29"/>
      <c r="T511" s="29"/>
      <c r="U511" s="59"/>
      <c r="V511" s="49"/>
      <c r="W511" s="49"/>
    </row>
    <row r="512" spans="1:23" ht="11.25" customHeight="1" x14ac:dyDescent="0.3">
      <c r="A512" s="10">
        <f t="shared" si="7"/>
        <v>498</v>
      </c>
      <c r="B512" s="29"/>
      <c r="C512" s="29"/>
      <c r="D512" s="29"/>
      <c r="E512" s="29"/>
      <c r="F512" s="29"/>
      <c r="G512" s="46"/>
      <c r="H512" s="29"/>
      <c r="I512" s="29"/>
      <c r="J512" s="29"/>
      <c r="K512" s="29"/>
      <c r="L512" s="29"/>
      <c r="M512" s="31"/>
      <c r="N512" s="31"/>
      <c r="O512" s="29"/>
      <c r="P512" s="29"/>
      <c r="Q512" s="29"/>
      <c r="R512" s="29"/>
      <c r="S512" s="29"/>
      <c r="T512" s="29"/>
      <c r="U512" s="59"/>
      <c r="V512" s="49"/>
      <c r="W512" s="49"/>
    </row>
    <row r="513" spans="1:23" ht="11.25" customHeight="1" x14ac:dyDescent="0.3">
      <c r="A513" s="10">
        <f t="shared" si="7"/>
        <v>499</v>
      </c>
      <c r="B513" s="29"/>
      <c r="C513" s="29"/>
      <c r="D513" s="29"/>
      <c r="E513" s="29"/>
      <c r="F513" s="29"/>
      <c r="G513" s="46"/>
      <c r="H513" s="29"/>
      <c r="I513" s="29"/>
      <c r="J513" s="29"/>
      <c r="K513" s="29"/>
      <c r="L513" s="29"/>
      <c r="M513" s="31"/>
      <c r="N513" s="31"/>
      <c r="O513" s="29"/>
      <c r="P513" s="29"/>
      <c r="Q513" s="29"/>
      <c r="R513" s="29"/>
      <c r="S513" s="29"/>
      <c r="T513" s="29"/>
      <c r="U513" s="59"/>
      <c r="V513" s="49"/>
      <c r="W513" s="49"/>
    </row>
    <row r="514" spans="1:23" ht="11.25" customHeight="1" x14ac:dyDescent="0.3">
      <c r="A514" s="10">
        <f t="shared" si="7"/>
        <v>500</v>
      </c>
      <c r="B514" s="29"/>
      <c r="C514" s="29"/>
      <c r="D514" s="29"/>
      <c r="E514" s="29"/>
      <c r="F514" s="29"/>
      <c r="G514" s="46"/>
      <c r="H514" s="29"/>
      <c r="I514" s="29"/>
      <c r="J514" s="29"/>
      <c r="K514" s="29"/>
      <c r="L514" s="29"/>
      <c r="M514" s="31"/>
      <c r="N514" s="31"/>
      <c r="O514" s="29"/>
      <c r="P514" s="29"/>
      <c r="Q514" s="29"/>
      <c r="R514" s="29"/>
      <c r="S514" s="29"/>
      <c r="T514" s="29"/>
      <c r="U514" s="59"/>
      <c r="V514" s="49"/>
      <c r="W514" s="49"/>
    </row>
    <row r="515" spans="1:23" ht="11.25" customHeight="1" x14ac:dyDescent="0.3">
      <c r="A515" s="8"/>
      <c r="B515" s="8"/>
      <c r="C515" s="8"/>
      <c r="D515" s="8"/>
      <c r="E515" s="8"/>
      <c r="F515" s="8"/>
      <c r="G515" s="8"/>
      <c r="H515" s="8"/>
      <c r="I515" s="38">
        <f t="shared" ref="I515:U515" si="8">SUM(I15:I514)</f>
        <v>13929800</v>
      </c>
      <c r="J515" s="38">
        <f t="shared" si="8"/>
        <v>208000</v>
      </c>
      <c r="K515" s="38">
        <f t="shared" si="8"/>
        <v>352000</v>
      </c>
      <c r="L515" s="38">
        <f t="shared" si="8"/>
        <v>1257000</v>
      </c>
      <c r="M515" s="38">
        <f t="shared" si="8"/>
        <v>33000</v>
      </c>
      <c r="N515" s="38">
        <f t="shared" si="8"/>
        <v>80000</v>
      </c>
      <c r="O515" s="38">
        <f t="shared" si="8"/>
        <v>37756000</v>
      </c>
      <c r="P515" s="38">
        <f t="shared" si="8"/>
        <v>0</v>
      </c>
      <c r="Q515" s="38">
        <f t="shared" si="8"/>
        <v>3109000</v>
      </c>
      <c r="R515" s="38">
        <f t="shared" si="8"/>
        <v>0</v>
      </c>
      <c r="S515" s="38">
        <f t="shared" si="8"/>
        <v>0</v>
      </c>
      <c r="T515" s="38">
        <f t="shared" si="8"/>
        <v>0</v>
      </c>
      <c r="U515" s="38">
        <f t="shared" si="8"/>
        <v>2221000</v>
      </c>
      <c r="V515" s="38"/>
      <c r="W515" s="38"/>
    </row>
    <row r="516" spans="1:23" ht="11.25" customHeight="1" x14ac:dyDescent="0.3"/>
    <row r="517" spans="1:23" ht="11.25" customHeight="1" x14ac:dyDescent="0.3"/>
    <row r="518" spans="1:23" ht="11.25" customHeight="1" x14ac:dyDescent="0.3"/>
    <row r="519" spans="1:23" ht="11.25" customHeight="1" x14ac:dyDescent="0.3"/>
    <row r="520" spans="1:23" ht="11.25" customHeight="1" x14ac:dyDescent="0.3"/>
    <row r="521" spans="1:23" ht="11.25" customHeight="1" x14ac:dyDescent="0.3"/>
    <row r="522" spans="1:23" ht="11.25" customHeight="1" x14ac:dyDescent="0.3"/>
    <row r="523" spans="1:23" ht="11.25" customHeight="1" x14ac:dyDescent="0.3"/>
    <row r="524" spans="1:23" ht="11.25" customHeight="1" x14ac:dyDescent="0.3"/>
    <row r="525" spans="1:23" ht="11.25" customHeight="1" x14ac:dyDescent="0.3"/>
    <row r="526" spans="1:23" ht="11.25" customHeight="1" x14ac:dyDescent="0.3"/>
    <row r="527" spans="1:23" ht="11.25" customHeight="1" x14ac:dyDescent="0.3"/>
    <row r="528" spans="1:23" ht="11.25" customHeight="1" x14ac:dyDescent="0.3"/>
    <row r="529" ht="11.25" customHeight="1" x14ac:dyDescent="0.3"/>
    <row r="530" ht="11.25" customHeight="1" x14ac:dyDescent="0.3"/>
    <row r="531" ht="11.25" customHeight="1" x14ac:dyDescent="0.3"/>
    <row r="532" ht="11.25" customHeight="1" x14ac:dyDescent="0.3"/>
    <row r="533" ht="11.25" customHeight="1" x14ac:dyDescent="0.3"/>
    <row r="534" ht="11.25" customHeight="1" x14ac:dyDescent="0.3"/>
  </sheetData>
  <sheetProtection password="CDC7" sheet="1" objects="1" scenarios="1" autoFilter="0"/>
  <autoFilter ref="A14:W515"/>
  <mergeCells count="65">
    <mergeCell ref="V13:V14"/>
    <mergeCell ref="T4:W4"/>
    <mergeCell ref="T5:W5"/>
    <mergeCell ref="E2:F2"/>
    <mergeCell ref="E3:F3"/>
    <mergeCell ref="E4:F4"/>
    <mergeCell ref="E5:F5"/>
    <mergeCell ref="P4:Q4"/>
    <mergeCell ref="P5:Q5"/>
    <mergeCell ref="R4:S4"/>
    <mergeCell ref="R5:S5"/>
    <mergeCell ref="N4:O4"/>
    <mergeCell ref="N5:O5"/>
    <mergeCell ref="F13:F14"/>
    <mergeCell ref="G4:H4"/>
    <mergeCell ref="G5:H5"/>
    <mergeCell ref="K10:L10"/>
    <mergeCell ref="G10:H10"/>
    <mergeCell ref="J4:K4"/>
    <mergeCell ref="J5:K5"/>
    <mergeCell ref="L4:M4"/>
    <mergeCell ref="L5:M5"/>
    <mergeCell ref="A5:B5"/>
    <mergeCell ref="C5:D5"/>
    <mergeCell ref="S10:T10"/>
    <mergeCell ref="S11:T11"/>
    <mergeCell ref="H13:H14"/>
    <mergeCell ref="R13:T13"/>
    <mergeCell ref="Q11:R11"/>
    <mergeCell ref="G11:H11"/>
    <mergeCell ref="I13:K13"/>
    <mergeCell ref="L13:N13"/>
    <mergeCell ref="O13:Q13"/>
    <mergeCell ref="K11:L11"/>
    <mergeCell ref="M11:N11"/>
    <mergeCell ref="M10:N10"/>
    <mergeCell ref="Q10:R10"/>
    <mergeCell ref="E13:E14"/>
    <mergeCell ref="A2:B2"/>
    <mergeCell ref="A3:B3"/>
    <mergeCell ref="A4:B4"/>
    <mergeCell ref="C2:D2"/>
    <mergeCell ref="C3:D3"/>
    <mergeCell ref="C4:D4"/>
    <mergeCell ref="U11:W11"/>
    <mergeCell ref="U13:U14"/>
    <mergeCell ref="W13:W14"/>
    <mergeCell ref="A10:C10"/>
    <mergeCell ref="A11:C11"/>
    <mergeCell ref="D10:F10"/>
    <mergeCell ref="D11:F11"/>
    <mergeCell ref="U10:W10"/>
    <mergeCell ref="I10:J10"/>
    <mergeCell ref="I11:J11"/>
    <mergeCell ref="O10:P10"/>
    <mergeCell ref="O11:P11"/>
    <mergeCell ref="D13:D14"/>
    <mergeCell ref="A13:A14"/>
    <mergeCell ref="B13:B14"/>
    <mergeCell ref="C13:C14"/>
    <mergeCell ref="U1:W1"/>
    <mergeCell ref="K1:O1"/>
    <mergeCell ref="J2:W3"/>
    <mergeCell ref="G2:H2"/>
    <mergeCell ref="G3:H3"/>
  </mergeCells>
  <phoneticPr fontId="13" type="noConversion"/>
  <dataValidations count="4">
    <dataValidation type="list" allowBlank="1" showErrorMessage="1" errorTitle="오류입니다." error="신규 및 재등록으로만 표기 가능합니다." promptTitle="오류입니다." prompt="신규 및 재등록으로만 표기 가능합니다." sqref="G216:G514 G15:G92 G96:G214">
      <formula1>$G$13:$G$14</formula1>
    </dataValidation>
    <dataValidation type="whole" allowBlank="1" showErrorMessage="1" errorTitle="오류입니다" error="숫자만 입력가능합니다. _x000a_(-999 ~ 999 사이 숫자)" sqref="D216:E514 D15:E92 D96:E214">
      <formula1>-999</formula1>
      <formula2>999</formula2>
    </dataValidation>
    <dataValidation type="whole" allowBlank="1" showErrorMessage="1" errorTitle="오류입니다" error="1~999 숫자만 입력가능합니다. " sqref="D93:E95">
      <formula1>1</formula1>
      <formula2>999</formula2>
    </dataValidation>
    <dataValidation type="list" allowBlank="1" showErrorMessage="1" errorTitle="오류입니다." error="신규 및 재등록으로만 표기 가능합니다." promptTitle="오류입니다." prompt="신규 및 재등록으로만 표기 가능합니다." sqref="G93:G95">
      <formula1>$G$8:$G$9</formula1>
    </dataValidation>
  </dataValidations>
  <pageMargins left="0.21972222626209259" right="0.18972222506999969" top="0.30000001192092896" bottom="0.30000001192092896" header="0.30000001192092896" footer="0.30000001192092896"/>
  <pageSetup paperSize="9" scale="9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3:N27"/>
  <sheetViews>
    <sheetView topLeftCell="B1" zoomScaleNormal="100" zoomScaleSheetLayoutView="75" workbookViewId="0">
      <selection activeCell="W17" sqref="W17"/>
    </sheetView>
  </sheetViews>
  <sheetFormatPr defaultColWidth="9" defaultRowHeight="16.5" x14ac:dyDescent="0.3"/>
  <cols>
    <col min="1" max="1" width="6.125" customWidth="1"/>
    <col min="2" max="2" width="5.125" customWidth="1"/>
    <col min="3" max="3" width="7.75" customWidth="1"/>
    <col min="5" max="5" width="12.5" customWidth="1"/>
    <col min="6" max="6" width="8.625" customWidth="1"/>
    <col min="7" max="7" width="4.5" customWidth="1"/>
    <col min="8" max="8" width="3.5" customWidth="1"/>
    <col min="9" max="9" width="7.75" customWidth="1"/>
    <col min="10" max="10" width="7.25" customWidth="1"/>
    <col min="11" max="11" width="10.125" style="13" customWidth="1"/>
    <col min="12" max="12" width="10.625" customWidth="1"/>
    <col min="13" max="13" width="8.75" style="15" customWidth="1"/>
    <col min="14" max="14" width="8.25" customWidth="1"/>
  </cols>
  <sheetData>
    <row r="3" spans="2:14" ht="16.5" customHeight="1" x14ac:dyDescent="0.3">
      <c r="B3" s="102" t="s">
        <v>0</v>
      </c>
      <c r="C3" s="102"/>
      <c r="D3" s="102"/>
      <c r="E3" s="102"/>
      <c r="F3" s="102"/>
      <c r="G3" s="55" t="s">
        <v>58</v>
      </c>
      <c r="H3" s="103" t="s">
        <v>1</v>
      </c>
      <c r="I3" s="102"/>
      <c r="J3" s="102"/>
      <c r="K3" s="9" t="s">
        <v>10</v>
      </c>
      <c r="L3" s="9" t="s">
        <v>8</v>
      </c>
      <c r="M3" s="16" t="s">
        <v>62</v>
      </c>
      <c r="N3" s="9" t="s">
        <v>4</v>
      </c>
    </row>
    <row r="4" spans="2:14" ht="16.5" customHeight="1" x14ac:dyDescent="0.3">
      <c r="B4" s="9">
        <v>1</v>
      </c>
      <c r="C4" s="9" t="s">
        <v>76</v>
      </c>
      <c r="D4" s="28"/>
      <c r="E4" s="1">
        <f>SUMIF(매출!$H$15:$H$514,D4,매출!$O$15:$O$514)+SUMIF(매출!$H$15:$H$514,D4,매출!$P$15:$P$514)+SUMIF(매출!$H$15:$H$514,D4,매출!$Q$15:$Q$514)+SUMIF(매출!$H$15:$H$514,D4,매출!$T$15:$T$514)</f>
        <v>0</v>
      </c>
      <c r="F4" s="14" t="str">
        <f>매출!$U$1</f>
        <v>선정릉점</v>
      </c>
      <c r="G4" s="34"/>
      <c r="H4" s="56">
        <v>1</v>
      </c>
      <c r="I4" s="9" t="s">
        <v>76</v>
      </c>
      <c r="J4" s="28"/>
      <c r="K4" s="22">
        <f>매출!$C$3</f>
        <v>42000000</v>
      </c>
      <c r="L4" s="14">
        <f>SUM(L6:L14)</f>
        <v>15859800</v>
      </c>
      <c r="M4" s="16">
        <f t="shared" ref="M4:M9" si="0">IFERROR(L4/K4,"-")</f>
        <v>0.37761428571428574</v>
      </c>
      <c r="N4" s="9" t="str">
        <f>매출!$U$1</f>
        <v>선정릉점</v>
      </c>
    </row>
    <row r="5" spans="2:14" ht="16.5" customHeight="1" x14ac:dyDescent="0.3">
      <c r="B5" s="9">
        <v>2</v>
      </c>
      <c r="C5" s="9" t="s">
        <v>66</v>
      </c>
      <c r="D5" s="28" t="s">
        <v>87</v>
      </c>
      <c r="E5" s="1">
        <f>SUMIF(매출!$H$15:$H$514,D5,매출!$O$15:$O$514)+SUMIF(매출!$H$15:$H$514,D5,매출!$P$15:$P$514)+SUMIF(매출!$H$15:$H$514,D5,매출!$Q$15:$Q$514)+SUMIF(매출!$H$15:$H$514,D5,매출!$T$15:$T$514)</f>
        <v>13108000</v>
      </c>
      <c r="F5" s="14" t="str">
        <f>매출!$U$1</f>
        <v>선정릉점</v>
      </c>
      <c r="G5" s="34"/>
      <c r="H5" s="56">
        <v>2</v>
      </c>
      <c r="I5" s="9" t="s">
        <v>66</v>
      </c>
      <c r="J5" s="28"/>
      <c r="K5" s="22">
        <f>매출!$C$3</f>
        <v>42000000</v>
      </c>
      <c r="L5" s="14">
        <f>SUM(L6:L14)</f>
        <v>15859800</v>
      </c>
      <c r="M5" s="16">
        <f t="shared" si="0"/>
        <v>0.37761428571428574</v>
      </c>
      <c r="N5" s="9" t="str">
        <f>매출!$U$1</f>
        <v>선정릉점</v>
      </c>
    </row>
    <row r="6" spans="2:14" ht="16.5" customHeight="1" x14ac:dyDescent="0.3">
      <c r="B6" s="9">
        <v>3</v>
      </c>
      <c r="C6" s="9" t="s">
        <v>66</v>
      </c>
      <c r="D6" s="28" t="s">
        <v>84</v>
      </c>
      <c r="E6" s="1">
        <f>SUMIF(매출!$H$15:$H$514,D6,매출!$O$15:$O$514)+SUMIF(매출!$H$15:$H$514,D6,매출!$P$15:$P$514)+SUMIF(매출!$H$15:$H$514,D6,매출!$Q$15:$Q$514)+SUMIF(매출!$H$15:$H$514,D6,매출!$T$15:$T$514)</f>
        <v>5602000</v>
      </c>
      <c r="F6" s="14" t="str">
        <f>매출!$U$1</f>
        <v>선정릉점</v>
      </c>
      <c r="G6" s="34"/>
      <c r="H6" s="56">
        <v>3</v>
      </c>
      <c r="I6" s="9" t="s">
        <v>66</v>
      </c>
      <c r="J6" s="28"/>
      <c r="K6" s="21"/>
      <c r="L6" s="14">
        <f>SUMIF(매출!$H$15:$H$494,J6,매출!$I$15:$I$494)+SUMIF(매출!$H$15:$H$494,J6,매출!$J$15:$J$494)+SUMIF(매출!$H$15:$H$494,J6,매출!$K$15:$K$494)+SUMIF(매출!$H$15:$H$494,J6,매출!$R$15:$R$494)+SUMIF(매출!$H$15:$H$494,J6,매출!$L$15:$L$494)+SUMIF(매출!$H$15:$H$494,J6,매출!$M$15:$M$494)+SUMIF(매출!$H$15:$H$494,J6,매출!$S$15:$S$494)+SUMIF(매출!$H$15:$H$494,J6,매출!$N$15:$N$494)</f>
        <v>0</v>
      </c>
      <c r="M6" s="16" t="str">
        <f t="shared" si="0"/>
        <v>-</v>
      </c>
      <c r="N6" s="9" t="str">
        <f>매출!$U$1</f>
        <v>선정릉점</v>
      </c>
    </row>
    <row r="7" spans="2:14" ht="16.5" customHeight="1" x14ac:dyDescent="0.3">
      <c r="B7" s="9">
        <v>4</v>
      </c>
      <c r="C7" s="9" t="s">
        <v>54</v>
      </c>
      <c r="D7" s="63" t="s">
        <v>90</v>
      </c>
      <c r="E7" s="1">
        <f>SUMIF(매출!$H$15:$H$514,D7,매출!$O$15:$O$514)+SUMIF(매출!$H$15:$H$514,D7,매출!$P$15:$P$514)+SUMIF(매출!$H$15:$H$514,D7,매출!$Q$15:$Q$514)+SUMIF(매출!$H$15:$H$514,D7,매출!$T$15:$T$514)</f>
        <v>7855000</v>
      </c>
      <c r="F7" s="14" t="str">
        <f>매출!$U$1</f>
        <v>선정릉점</v>
      </c>
      <c r="G7" s="34"/>
      <c r="H7" s="56">
        <v>4</v>
      </c>
      <c r="I7" s="9" t="s">
        <v>54</v>
      </c>
      <c r="J7" s="63" t="s">
        <v>89</v>
      </c>
      <c r="K7" s="21">
        <v>42000000</v>
      </c>
      <c r="L7" s="14">
        <f>SUMIF(매출!$H$15:$H$494,J7,매출!$I$15:$I$494)+SUMIF(매출!$H$15:$H$494,J7,매출!$J$15:$J$494)+SUMIF(매출!$H$15:$H$494,J7,매출!$K$15:$K$494)+SUMIF(매출!$H$15:$H$494,J7,매출!$R$15:$R$494)+SUMIF(매출!$H$15:$H$494,J7,매출!$L$15:$L$494)+SUMIF(매출!$H$15:$H$494,J7,매출!$M$15:$M$494)+SUMIF(매출!$H$15:$H$494,J7,매출!$S$15:$S$494)+SUMIF(매출!$H$15:$H$494,J7,매출!$N$15:$N$494)</f>
        <v>15859800</v>
      </c>
      <c r="M7" s="16">
        <f t="shared" si="0"/>
        <v>0.37761428571428574</v>
      </c>
      <c r="N7" s="9" t="str">
        <f>매출!$U$1</f>
        <v>선정릉점</v>
      </c>
    </row>
    <row r="8" spans="2:14" ht="16.5" customHeight="1" x14ac:dyDescent="0.3">
      <c r="B8" s="9">
        <v>5</v>
      </c>
      <c r="C8" s="9" t="s">
        <v>54</v>
      </c>
      <c r="D8" s="28"/>
      <c r="E8" s="1">
        <f>SUMIF(매출!$H$15:$H$514,D8,매출!$O$15:$O$514)+SUMIF(매출!$H$15:$H$514,D8,매출!$P$15:$P$514)+SUMIF(매출!$H$15:$H$514,D8,매출!$Q$15:$Q$514)+SUMIF(매출!$H$15:$H$514,D8,매출!$T$15:$T$514)</f>
        <v>0</v>
      </c>
      <c r="F8" s="14" t="str">
        <f>매출!$U$1</f>
        <v>선정릉점</v>
      </c>
      <c r="G8" s="34"/>
      <c r="H8" s="56">
        <v>5</v>
      </c>
      <c r="I8" s="9" t="s">
        <v>54</v>
      </c>
      <c r="J8" s="28"/>
      <c r="K8" s="21"/>
      <c r="L8" s="14">
        <f>SUMIF(매출!$H$15:$H$494,J8,매출!$I$15:$I$494)+SUMIF(매출!$H$15:$H$494,J8,매출!$J$15:$J$494)+SUMIF(매출!$H$15:$H$494,J8,매출!$K$15:$K$494)+SUMIF(매출!$H$15:$H$494,J8,매출!$R$15:$R$494)+SUMIF(매출!$H$15:$H$494,J8,매출!$L$15:$L$494)+SUMIF(매출!$H$15:$H$494,J8,매출!$M$15:$M$494)+SUMIF(매출!$H$15:$H$494,J8,매출!$S$15:$S$494)+SUMIF(매출!$H$15:$H$494,J8,매출!$N$15:$N$494)</f>
        <v>0</v>
      </c>
      <c r="M8" s="16" t="str">
        <f t="shared" si="0"/>
        <v>-</v>
      </c>
      <c r="N8" s="9" t="str">
        <f>매출!$U$1</f>
        <v>선정릉점</v>
      </c>
    </row>
    <row r="9" spans="2:14" ht="16.5" customHeight="1" x14ac:dyDescent="0.3">
      <c r="B9" s="9">
        <v>6</v>
      </c>
      <c r="C9" s="9" t="s">
        <v>54</v>
      </c>
      <c r="D9" s="28"/>
      <c r="E9" s="1">
        <f>SUMIF(매출!$H$15:$H$514,D9,매출!$O$15:$O$514)+SUMIF(매출!$H$15:$H$514,D9,매출!$P$15:$P$514)+SUMIF(매출!$H$15:$H$514,D9,매출!$Q$15:$Q$514)+SUMIF(매출!$H$15:$H$514,D9,매출!$T$15:$T$514)</f>
        <v>0</v>
      </c>
      <c r="F9" s="14" t="str">
        <f>매출!$U$1</f>
        <v>선정릉점</v>
      </c>
      <c r="G9" s="34"/>
      <c r="H9" s="56">
        <v>6</v>
      </c>
      <c r="I9" s="9" t="s">
        <v>54</v>
      </c>
      <c r="J9" s="28"/>
      <c r="K9" s="21"/>
      <c r="L9" s="14">
        <f>SUMIF(매출!$H$15:$H$494,J9,매출!$I$15:$I$494)+SUMIF(매출!$H$15:$H$494,J9,매출!$J$15:$J$494)+SUMIF(매출!$H$15:$H$494,J9,매출!$K$15:$K$494)+SUMIF(매출!$H$15:$H$494,J9,매출!$R$15:$R$494)+SUMIF(매출!$H$15:$H$494,J9,매출!$L$15:$L$494)+SUMIF(매출!$H$15:$H$494,J9,매출!$M$15:$M$494)+SUMIF(매출!$H$15:$H$494,J9,매출!$S$15:$S$494)+SUMIF(매출!$H$15:$H$494,J9,매출!$N$15:$N$494)</f>
        <v>0</v>
      </c>
      <c r="M9" s="16" t="str">
        <f t="shared" si="0"/>
        <v>-</v>
      </c>
      <c r="N9" s="9" t="str">
        <f>매출!$U$1</f>
        <v>선정릉점</v>
      </c>
    </row>
    <row r="10" spans="2:14" ht="16.5" customHeight="1" x14ac:dyDescent="0.3">
      <c r="B10" s="9">
        <v>7</v>
      </c>
      <c r="C10" s="9" t="s">
        <v>54</v>
      </c>
      <c r="D10" s="28"/>
      <c r="E10" s="1">
        <f>SUMIF(매출!$H$15:$H$514,D10,매출!$O$15:$O$514)+SUMIF(매출!$H$15:$H$514,D10,매출!$P$15:$P$514)+SUMIF(매출!$H$15:$H$514,D10,매출!$Q$15:$Q$514)+SUMIF(매출!$H$15:$H$514,D10,매출!$T$15:$T$514)</f>
        <v>0</v>
      </c>
      <c r="F10" s="14" t="str">
        <f>매출!$U$1</f>
        <v>선정릉점</v>
      </c>
      <c r="G10" s="34"/>
      <c r="H10" s="56">
        <v>7</v>
      </c>
      <c r="I10" s="9" t="s">
        <v>65</v>
      </c>
      <c r="J10" s="28"/>
      <c r="K10" s="21"/>
      <c r="L10" s="14">
        <f>SUMIF(매출!$H$15:$H$494,J10,매출!$I$15:$I$494)+SUMIF(매출!$H$15:$H$494,J10,매출!$J$15:$J$494)+SUMIF(매출!$H$15:$H$494,J10,매출!$K$15:$K$494)+SUMIF(매출!$H$15:$H$494,J10,매출!$R$15:$R$494)+SUMIF(매출!$H$15:$H$494,J10,매출!$L$15:$L$494)+SUMIF(매출!$H$15:$H$494,J10,매출!$M$15:$M$494)+SUMIF(매출!$H$15:$H$494,J10,매출!$S$15:$S$494)+SUMIF(매출!$H$15:$H$494,J10,매출!$N$15:$N$494)</f>
        <v>0</v>
      </c>
      <c r="M10" s="16" t="str">
        <f t="shared" ref="M10:M12" si="1">IFERROR(L10/K10,"-")</f>
        <v>-</v>
      </c>
      <c r="N10" s="9" t="str">
        <f>매출!$U$1</f>
        <v>선정릉점</v>
      </c>
    </row>
    <row r="11" spans="2:14" ht="16.5" customHeight="1" x14ac:dyDescent="0.3">
      <c r="B11" s="9">
        <v>8</v>
      </c>
      <c r="C11" s="9" t="s">
        <v>54</v>
      </c>
      <c r="D11" s="28"/>
      <c r="E11" s="1">
        <f>SUMIF(매출!$H$15:$H$514,D11,매출!$O$15:$O$514)+SUMIF(매출!$H$15:$H$514,D11,매출!$P$15:$P$514)+SUMIF(매출!$H$15:$H$514,D11,매출!$Q$15:$Q$514)+SUMIF(매출!$H$15:$H$514,D11,매출!$T$15:$T$514)</f>
        <v>0</v>
      </c>
      <c r="F11" s="14" t="str">
        <f>매출!$U$1</f>
        <v>선정릉점</v>
      </c>
      <c r="G11" s="34"/>
      <c r="H11" s="56">
        <v>8</v>
      </c>
      <c r="I11" s="9" t="s">
        <v>65</v>
      </c>
      <c r="J11" s="28"/>
      <c r="K11" s="21"/>
      <c r="L11" s="14">
        <f>SUMIF(매출!$H$15:$H$494,J11,매출!$I$15:$I$494)+SUMIF(매출!$H$15:$H$494,J11,매출!$J$15:$J$494)+SUMIF(매출!$H$15:$H$494,J11,매출!$K$15:$K$494)+SUMIF(매출!$H$15:$H$494,J11,매출!$R$15:$R$494)+SUMIF(매출!$H$15:$H$494,J11,매출!$L$15:$L$494)+SUMIF(매출!$H$15:$H$494,J11,매출!$M$15:$M$494)+SUMIF(매출!$H$15:$H$494,J11,매출!$S$15:$S$494)+SUMIF(매출!$H$15:$H$494,J11,매출!$N$15:$N$494)</f>
        <v>0</v>
      </c>
      <c r="M11" s="16" t="str">
        <f t="shared" si="1"/>
        <v>-</v>
      </c>
      <c r="N11" s="9" t="str">
        <f>매출!$U$1</f>
        <v>선정릉점</v>
      </c>
    </row>
    <row r="12" spans="2:14" ht="16.5" customHeight="1" x14ac:dyDescent="0.3">
      <c r="B12" s="9">
        <v>9</v>
      </c>
      <c r="C12" s="9" t="s">
        <v>65</v>
      </c>
      <c r="D12" s="28" t="s">
        <v>85</v>
      </c>
      <c r="E12" s="1">
        <f>SUMIF(매출!$H$15:$H$514,D12,매출!$O$15:$O$514)+SUMIF(매출!$H$15:$H$514,D12,매출!$P$15:$P$514)+SUMIF(매출!$H$15:$H$514,D12,매출!$Q$15:$Q$514)+SUMIF(매출!$H$15:$H$514,D12,매출!$T$15:$T$514)</f>
        <v>3080000</v>
      </c>
      <c r="F12" s="14" t="str">
        <f>매출!$U$1</f>
        <v>선정릉점</v>
      </c>
      <c r="G12" s="34"/>
      <c r="H12" s="56">
        <v>9</v>
      </c>
      <c r="I12" s="9" t="s">
        <v>65</v>
      </c>
      <c r="J12" s="28"/>
      <c r="K12" s="21"/>
      <c r="L12" s="14">
        <f>SUMIF(매출!$H$15:$H$494,J12,매출!$I$15:$I$494)+SUMIF(매출!$H$15:$H$494,J12,매출!$J$15:$J$494)+SUMIF(매출!$H$15:$H$494,J12,매출!$K$15:$K$494)+SUMIF(매출!$H$15:$H$494,J12,매출!$R$15:$R$494)+SUMIF(매출!$H$15:$H$494,J12,매출!$L$15:$L$494)+SUMIF(매출!$H$15:$H$494,J12,매출!$M$15:$M$494)+SUMIF(매출!$H$15:$H$494,J12,매출!$S$15:$S$494)+SUMIF(매출!$H$15:$H$494,J12,매출!$N$15:$N$494)</f>
        <v>0</v>
      </c>
      <c r="M12" s="16" t="str">
        <f t="shared" si="1"/>
        <v>-</v>
      </c>
      <c r="N12" s="9" t="str">
        <f>매출!$U$1</f>
        <v>선정릉점</v>
      </c>
    </row>
    <row r="13" spans="2:14" ht="16.5" customHeight="1" x14ac:dyDescent="0.3">
      <c r="B13" s="9">
        <v>10</v>
      </c>
      <c r="C13" s="9" t="s">
        <v>65</v>
      </c>
      <c r="D13" s="28" t="s">
        <v>83</v>
      </c>
      <c r="E13" s="1">
        <f>SUMIF(매출!$H$15:$H$514,D13,매출!$O$15:$O$514)+SUMIF(매출!$H$15:$H$514,D13,매출!$P$15:$P$514)+SUMIF(매출!$H$15:$H$514,D13,매출!$Q$15:$Q$514)+SUMIF(매출!$H$15:$H$514,D13,매출!$T$15:$T$514)</f>
        <v>80000</v>
      </c>
      <c r="F13" s="14" t="str">
        <f>매출!$U$1</f>
        <v>선정릉점</v>
      </c>
      <c r="G13" s="34"/>
      <c r="H13" s="56">
        <v>10</v>
      </c>
      <c r="I13" s="9" t="s">
        <v>65</v>
      </c>
      <c r="J13" s="28"/>
      <c r="K13" s="21"/>
      <c r="L13" s="14">
        <f>SUMIF(매출!$H$15:$H$494,J13,매출!$I$15:$I$494)+SUMIF(매출!$H$15:$H$494,J13,매출!$J$15:$J$494)+SUMIF(매출!$H$15:$H$494,J13,매출!$K$15:$K$494)+SUMIF(매출!$H$15:$H$494,J13,매출!$R$15:$R$494)+SUMIF(매출!$H$15:$H$494,J13,매출!$L$15:$L$494)+SUMIF(매출!$H$15:$H$494,J13,매출!$M$15:$M$494)+SUMIF(매출!$H$15:$H$494,J13,매출!$S$15:$S$494)+SUMIF(매출!$H$15:$H$494,J13,매출!$N$15:$N$494)</f>
        <v>0</v>
      </c>
      <c r="M13" s="16" t="str">
        <f>IFERROR(L13/K13,"-")</f>
        <v>-</v>
      </c>
      <c r="N13" s="9" t="str">
        <f>매출!$U$1</f>
        <v>선정릉점</v>
      </c>
    </row>
    <row r="14" spans="2:14" ht="16.5" customHeight="1" x14ac:dyDescent="0.3">
      <c r="B14" s="9">
        <v>11</v>
      </c>
      <c r="C14" s="9" t="s">
        <v>65</v>
      </c>
      <c r="D14" s="28" t="s">
        <v>86</v>
      </c>
      <c r="E14" s="1">
        <f>SUMIF(매출!$H$15:$H$514,D14,매출!$O$15:$O$514)+SUMIF(매출!$H$15:$H$514,D14,매출!$P$15:$P$514)+SUMIF(매출!$H$15:$H$514,D14,매출!$Q$15:$Q$514)+SUMIF(매출!$H$15:$H$514,D14,매출!$T$15:$T$514)</f>
        <v>4290000</v>
      </c>
      <c r="F14" s="14" t="str">
        <f>매출!$U$1</f>
        <v>선정릉점</v>
      </c>
      <c r="G14" s="34"/>
      <c r="H14" s="56">
        <v>11</v>
      </c>
      <c r="I14" s="9" t="s">
        <v>65</v>
      </c>
      <c r="J14" s="28"/>
      <c r="K14" s="21"/>
      <c r="L14" s="14">
        <f>SUMIF(매출!$H$15:$H$494,J14,매출!$I$15:$I$494)+SUMIF(매출!$H$15:$H$494,J14,매출!$J$15:$J$494)+SUMIF(매출!$H$15:$H$494,J14,매출!$K$15:$K$494)+SUMIF(매출!$H$15:$H$494,J14,매출!$R$15:$R$494)+SUMIF(매출!$H$15:$H$494,J14,매출!$L$15:$L$494)+SUMIF(매출!$H$15:$H$494,J14,매출!$M$15:$M$494)+SUMIF(매출!$H$15:$H$494,J14,매출!$S$15:$S$494)+SUMIF(매출!$H$15:$H$494,J14,매출!$N$15:$N$494)</f>
        <v>0</v>
      </c>
      <c r="M14" s="16" t="str">
        <f>IFERROR(L14/K14,"-")</f>
        <v>-</v>
      </c>
      <c r="N14" s="9" t="str">
        <f>매출!$U$1</f>
        <v>선정릉점</v>
      </c>
    </row>
    <row r="15" spans="2:14" ht="16.5" customHeight="1" x14ac:dyDescent="0.3">
      <c r="B15" s="9">
        <v>12</v>
      </c>
      <c r="C15" s="9" t="s">
        <v>65</v>
      </c>
      <c r="D15" s="63" t="s">
        <v>91</v>
      </c>
      <c r="E15" s="1">
        <f>SUMIF(매출!$H$15:$H$514,D15,매출!$O$15:$O$514)+SUMIF(매출!$H$15:$H$514,D15,매출!$P$15:$P$514)+SUMIF(매출!$H$15:$H$514,D15,매출!$Q$15:$Q$514)+SUMIF(매출!$H$15:$H$514,D15,매출!$T$15:$T$514)</f>
        <v>6850000</v>
      </c>
      <c r="F15" s="14" t="str">
        <f>매출!$U$1</f>
        <v>선정릉점</v>
      </c>
      <c r="G15" s="34"/>
    </row>
    <row r="16" spans="2:14" ht="16.5" customHeight="1" x14ac:dyDescent="0.3">
      <c r="B16" s="9">
        <v>13</v>
      </c>
      <c r="C16" s="9" t="s">
        <v>65</v>
      </c>
      <c r="D16" s="63"/>
      <c r="E16" s="1">
        <f>SUMIF(매출!$H$15:$H$514,D16,매출!$O$15:$O$514)+SUMIF(매출!$H$15:$H$514,D16,매출!$P$15:$P$514)+SUMIF(매출!$H$15:$H$514,D16,매출!$Q$15:$Q$514)+SUMIF(매출!$H$15:$H$514,D16,매출!$T$15:$T$514)</f>
        <v>0</v>
      </c>
      <c r="F16" s="14" t="str">
        <f>매출!$U$1</f>
        <v>선정릉점</v>
      </c>
      <c r="G16" s="34"/>
    </row>
    <row r="17" spans="2:14" ht="16.5" customHeight="1" x14ac:dyDescent="0.3">
      <c r="B17" s="9">
        <v>14</v>
      </c>
      <c r="C17" s="9" t="s">
        <v>65</v>
      </c>
      <c r="D17" s="28"/>
      <c r="E17" s="1">
        <f>SUMIF(매출!$H$15:$H$514,D17,매출!$O$15:$O$514)+SUMIF(매출!$H$15:$H$514,D17,매출!$P$15:$P$514)+SUMIF(매출!$H$15:$H$514,D17,매출!$Q$15:$Q$514)+SUMIF(매출!$H$15:$H$514,D17,매출!$T$15:$T$514)</f>
        <v>0</v>
      </c>
      <c r="F17" s="14" t="str">
        <f>매출!$U$1</f>
        <v>선정릉점</v>
      </c>
      <c r="G17" s="34"/>
    </row>
    <row r="18" spans="2:14" ht="16.5" customHeight="1" x14ac:dyDescent="0.3">
      <c r="B18" s="9">
        <v>15</v>
      </c>
      <c r="C18" s="9" t="s">
        <v>65</v>
      </c>
      <c r="D18" s="28"/>
      <c r="E18" s="1">
        <f>SUMIF(매출!$H$15:$H$514,D18,매출!$O$15:$O$514)+SUMIF(매출!$H$15:$H$514,D18,매출!$P$15:$P$514)+SUMIF(매출!$H$15:$H$514,D18,매출!$Q$15:$Q$514)+SUMIF(매출!$H$15:$H$514,D18,매출!$T$15:$T$514)</f>
        <v>0</v>
      </c>
      <c r="F18" s="14" t="str">
        <f>매출!$U$1</f>
        <v>선정릉점</v>
      </c>
      <c r="G18" s="34"/>
    </row>
    <row r="19" spans="2:14" ht="16.5" customHeight="1" x14ac:dyDescent="0.3">
      <c r="B19" s="9">
        <v>16</v>
      </c>
      <c r="C19" s="9" t="s">
        <v>65</v>
      </c>
      <c r="D19" s="28"/>
      <c r="E19" s="1">
        <f>SUMIF(매출!$H$15:$H$514,D19,매출!$O$15:$O$514)+SUMIF(매출!$H$15:$H$514,D19,매출!$P$15:$P$514)+SUMIF(매출!$H$15:$H$514,D19,매출!$Q$15:$Q$514)+SUMIF(매출!$H$15:$H$514,D19,매출!$T$15:$T$514)</f>
        <v>0</v>
      </c>
      <c r="F19" s="14" t="str">
        <f>매출!$U$1</f>
        <v>선정릉점</v>
      </c>
      <c r="G19" s="34"/>
    </row>
    <row r="20" spans="2:14" ht="16.5" customHeight="1" x14ac:dyDescent="0.3">
      <c r="B20" s="9">
        <v>17</v>
      </c>
      <c r="C20" s="9" t="s">
        <v>65</v>
      </c>
      <c r="D20" s="28"/>
      <c r="E20" s="1">
        <f>SUMIF(매출!$H$15:$H$514,D20,매출!$O$15:$O$514)+SUMIF(매출!$H$15:$H$514,D20,매출!$P$15:$P$514)+SUMIF(매출!$H$15:$H$514,D20,매출!$Q$15:$Q$514)+SUMIF(매출!$H$15:$H$514,D20,매출!$T$15:$T$514)</f>
        <v>0</v>
      </c>
      <c r="F20" s="14" t="str">
        <f>매출!$U$1</f>
        <v>선정릉점</v>
      </c>
      <c r="G20" s="34"/>
    </row>
    <row r="21" spans="2:14" ht="16.5" customHeight="1" x14ac:dyDescent="0.3">
      <c r="B21" s="9">
        <v>18</v>
      </c>
      <c r="C21" s="9" t="s">
        <v>65</v>
      </c>
      <c r="D21" s="28"/>
      <c r="E21" s="1">
        <f>SUMIF(매출!$H$15:$H$514,D21,매출!$O$15:$O$514)+SUMIF(매출!$H$15:$H$514,D21,매출!$P$15:$P$514)+SUMIF(매출!$H$15:$H$514,D21,매출!$Q$15:$Q$514)+SUMIF(매출!$H$15:$H$514,D21,매출!$T$15:$T$514)</f>
        <v>0</v>
      </c>
      <c r="F21" s="14" t="str">
        <f>매출!$U$1</f>
        <v>선정릉점</v>
      </c>
      <c r="G21" s="34"/>
    </row>
    <row r="22" spans="2:14" ht="16.5" customHeight="1" x14ac:dyDescent="0.3">
      <c r="B22" s="9">
        <v>19</v>
      </c>
      <c r="C22" s="9" t="s">
        <v>65</v>
      </c>
      <c r="D22" s="28"/>
      <c r="E22" s="1">
        <f>SUMIF(매출!$H$15:$H$514,D22,매출!$O$15:$O$514)+SUMIF(매출!$H$15:$H$514,D22,매출!$P$15:$P$514)+SUMIF(매출!$H$15:$H$514,D22,매출!$Q$15:$Q$514)+SUMIF(매출!$H$15:$H$514,D22,매출!$T$15:$T$514)</f>
        <v>0</v>
      </c>
      <c r="F22" s="14" t="str">
        <f>매출!$U$1</f>
        <v>선정릉점</v>
      </c>
      <c r="G22" s="34"/>
    </row>
    <row r="23" spans="2:14" ht="16.5" customHeight="1" x14ac:dyDescent="0.3">
      <c r="B23" s="9">
        <v>20</v>
      </c>
      <c r="C23" s="9" t="s">
        <v>65</v>
      </c>
      <c r="D23" s="28"/>
      <c r="E23" s="1">
        <f>SUMIF(매출!$H$15:$H$514,D23,매출!$O$15:$O$514)+SUMIF(매출!$H$15:$H$514,D23,매출!$P$15:$P$514)+SUMIF(매출!$H$15:$H$514,D23,매출!$Q$15:$Q$514)+SUMIF(매출!$H$15:$H$514,D23,매출!$T$15:$T$514)</f>
        <v>0</v>
      </c>
      <c r="F23" s="14" t="str">
        <f>매출!$U$1</f>
        <v>선정릉점</v>
      </c>
      <c r="G23" s="34"/>
    </row>
    <row r="24" spans="2:14" ht="16.5" customHeight="1" x14ac:dyDescent="0.3">
      <c r="B24" s="9">
        <v>21</v>
      </c>
      <c r="C24" s="9" t="s">
        <v>65</v>
      </c>
      <c r="D24" s="28"/>
      <c r="E24" s="1">
        <f>SUMIF(매출!$H$15:$H$514,D24,매출!$O$15:$O$514)+SUMIF(매출!$H$15:$H$514,D24,매출!$P$15:$P$514)+SUMIF(매출!$H$15:$H$514,D24,매출!$Q$15:$Q$514)+SUMIF(매출!$H$15:$H$514,D24,매출!$T$15:$T$514)</f>
        <v>0</v>
      </c>
      <c r="F24" s="14" t="str">
        <f>매출!$U$1</f>
        <v>선정릉점</v>
      </c>
      <c r="G24" s="34"/>
    </row>
    <row r="27" spans="2:14" ht="39" customHeight="1" x14ac:dyDescent="0.3">
      <c r="B27" s="104" t="s">
        <v>52</v>
      </c>
      <c r="C27" s="104"/>
      <c r="D27" s="104"/>
      <c r="E27" s="104"/>
      <c r="F27" s="104"/>
      <c r="G27" s="104"/>
      <c r="H27" s="104"/>
      <c r="I27" s="104"/>
      <c r="J27" s="104"/>
      <c r="K27" s="104"/>
      <c r="L27" s="104"/>
      <c r="M27" s="104"/>
      <c r="N27" s="104"/>
    </row>
  </sheetData>
  <sheetProtection algorithmName="SHA-512" hashValue="h+muTpKdr8VDngJYs6nE5BGOejtPcMsIgGtZvMlgqK5CRt+UEV+EtPhZh3DxbXKTO5p+qDcwp/+WIhoNrluO3Q==" saltValue="GWREDt328KVXMrHTSYcApQ==" spinCount="100000" sheet="1" objects="1" scenarios="1"/>
  <mergeCells count="3">
    <mergeCell ref="B3:F3"/>
    <mergeCell ref="H3:J3"/>
    <mergeCell ref="B27:N27"/>
  </mergeCells>
  <phoneticPr fontId="13" type="noConversion"/>
  <pageMargins left="0.69972223043441772" right="0.69972223043441772" top="0.75" bottom="0.75" header="0.30000001192092896" footer="0.30000001192092896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1:N72"/>
  <sheetViews>
    <sheetView zoomScale="90" zoomScaleNormal="90" zoomScaleSheetLayoutView="75" workbookViewId="0">
      <selection activeCell="F14" sqref="F14"/>
    </sheetView>
  </sheetViews>
  <sheetFormatPr defaultColWidth="9" defaultRowHeight="13.5" x14ac:dyDescent="0.3"/>
  <cols>
    <col min="1" max="1" width="2.625" style="18" customWidth="1"/>
    <col min="2" max="3" width="9" style="18"/>
    <col min="4" max="5" width="10.625" style="18" customWidth="1"/>
    <col min="6" max="6" width="9.625" style="18" customWidth="1"/>
    <col min="7" max="8" width="10.625" style="18" customWidth="1"/>
    <col min="9" max="9" width="9.75" style="18" customWidth="1"/>
    <col min="10" max="13" width="9.5" style="18" customWidth="1"/>
    <col min="14" max="14" width="11.125" style="18" customWidth="1"/>
    <col min="15" max="15" width="2.625" style="18" customWidth="1"/>
    <col min="16" max="16384" width="9" style="18"/>
  </cols>
  <sheetData>
    <row r="1" spans="2:14" ht="34.5" customHeight="1" x14ac:dyDescent="0.3">
      <c r="B1" s="108">
        <f>SUM(D6:D34)+SUM(D38:D72)</f>
        <v>0</v>
      </c>
      <c r="C1" s="108"/>
      <c r="D1" s="108"/>
      <c r="E1" s="27"/>
      <c r="F1" s="27"/>
      <c r="G1" s="27" t="str">
        <f>매출!J1</f>
        <v>8월</v>
      </c>
      <c r="H1" s="107" t="s">
        <v>35</v>
      </c>
      <c r="I1" s="107"/>
      <c r="J1" s="27"/>
      <c r="K1" s="27"/>
      <c r="L1" s="27"/>
      <c r="M1" s="27"/>
      <c r="N1" s="54" t="str">
        <f>매출!U1</f>
        <v>선정릉점</v>
      </c>
    </row>
    <row r="2" spans="2:14" ht="10.15" customHeight="1" x14ac:dyDescent="0.3"/>
    <row r="3" spans="2:14" ht="120" customHeight="1" x14ac:dyDescent="0.3">
      <c r="B3" s="105" t="s">
        <v>88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</row>
    <row r="4" spans="2:14" ht="10.15" customHeight="1" x14ac:dyDescent="0.3"/>
    <row r="5" spans="2:14" ht="13.5" customHeight="1" x14ac:dyDescent="0.3">
      <c r="B5" s="17"/>
      <c r="C5" s="25" t="s">
        <v>59</v>
      </c>
      <c r="D5" s="25" t="s">
        <v>11</v>
      </c>
      <c r="E5" s="25" t="s">
        <v>17</v>
      </c>
      <c r="F5" s="25" t="s">
        <v>23</v>
      </c>
      <c r="G5" s="25" t="s">
        <v>19</v>
      </c>
      <c r="H5" s="25" t="s">
        <v>64</v>
      </c>
      <c r="I5" s="25" t="s">
        <v>55</v>
      </c>
      <c r="J5" s="25" t="s">
        <v>9</v>
      </c>
      <c r="K5" s="25" t="s">
        <v>26</v>
      </c>
      <c r="L5" s="25" t="s">
        <v>24</v>
      </c>
      <c r="M5" s="25" t="s">
        <v>21</v>
      </c>
      <c r="N5" s="25" t="s">
        <v>82</v>
      </c>
    </row>
    <row r="6" spans="2:14" ht="13.5" customHeight="1" x14ac:dyDescent="0.3">
      <c r="B6" s="25" t="s">
        <v>41</v>
      </c>
      <c r="C6" s="23"/>
      <c r="D6" s="19">
        <f>E6*0.967</f>
        <v>0</v>
      </c>
      <c r="E6" s="19">
        <f>(F6+I6+J6+K6+L6+M6+N6)</f>
        <v>0</v>
      </c>
      <c r="F6" s="24"/>
      <c r="G6" s="19">
        <f>SUMIF(매출순위!$J$4:$J$14,C6,매출순위!$K$4:$K$14)</f>
        <v>0</v>
      </c>
      <c r="H6" s="19">
        <f>SUMIF(매출순위!$J$4:$J$14,C6,매출순위!$L$4:$L$14)</f>
        <v>0</v>
      </c>
      <c r="I6" s="19" t="str">
        <f t="shared" ref="I6:I17" si="0">IFERROR(ROUNDDOWN(H6/G6*100,0)*10000,"0")</f>
        <v>0</v>
      </c>
      <c r="J6" s="24"/>
      <c r="K6" s="24"/>
      <c r="L6" s="24"/>
      <c r="M6" s="24"/>
      <c r="N6" s="24"/>
    </row>
    <row r="7" spans="2:14" ht="13.5" customHeight="1" x14ac:dyDescent="0.3">
      <c r="B7" s="25" t="s">
        <v>41</v>
      </c>
      <c r="C7" s="23"/>
      <c r="D7" s="19">
        <f t="shared" ref="D7:D34" si="1">E7*0.967</f>
        <v>0</v>
      </c>
      <c r="E7" s="19">
        <f t="shared" ref="E7:E34" si="2">(F7+I7+J7+K7+L7+M7+N7)</f>
        <v>0</v>
      </c>
      <c r="F7" s="24"/>
      <c r="G7" s="19">
        <f>SUMIF(매출순위!$J$4:$J$14,C7,매출순위!$K$4:$K$14)</f>
        <v>0</v>
      </c>
      <c r="H7" s="19">
        <f>SUMIF(매출순위!$J$4:$J$14,C7,매출순위!$L$4:$L$14)</f>
        <v>0</v>
      </c>
      <c r="I7" s="19" t="str">
        <f t="shared" si="0"/>
        <v>0</v>
      </c>
      <c r="J7" s="24"/>
      <c r="K7" s="24"/>
      <c r="L7" s="24"/>
      <c r="M7" s="24"/>
      <c r="N7" s="24"/>
    </row>
    <row r="8" spans="2:14" ht="13.5" customHeight="1" x14ac:dyDescent="0.3">
      <c r="B8" s="25" t="s">
        <v>37</v>
      </c>
      <c r="C8" s="23"/>
      <c r="D8" s="19">
        <f>E8*0.967</f>
        <v>0</v>
      </c>
      <c r="E8" s="19">
        <f>(F8+I8+J8+K8+L8+M8+N8)</f>
        <v>0</v>
      </c>
      <c r="F8" s="24"/>
      <c r="G8" s="19">
        <f>SUMIF(매출순위!$J$4:$J$14,C8,매출순위!$K$4:$K$14)</f>
        <v>0</v>
      </c>
      <c r="H8" s="19">
        <f>SUMIF(매출순위!$J$4:$J$14,C8,매출순위!$L$4:$L$14)</f>
        <v>0</v>
      </c>
      <c r="I8" s="19" t="str">
        <f t="shared" si="0"/>
        <v>0</v>
      </c>
      <c r="J8" s="24"/>
      <c r="K8" s="24"/>
      <c r="L8" s="24"/>
      <c r="M8" s="24"/>
      <c r="N8" s="24"/>
    </row>
    <row r="9" spans="2:14" ht="13.5" customHeight="1" x14ac:dyDescent="0.3">
      <c r="B9" s="25" t="s">
        <v>37</v>
      </c>
      <c r="C9" s="23"/>
      <c r="D9" s="19">
        <f t="shared" si="1"/>
        <v>0</v>
      </c>
      <c r="E9" s="19">
        <f t="shared" si="2"/>
        <v>0</v>
      </c>
      <c r="F9" s="24"/>
      <c r="G9" s="19">
        <f>SUMIF(매출순위!$J$4:$J$14,C9,매출순위!$K$4:$K$14)</f>
        <v>0</v>
      </c>
      <c r="H9" s="19">
        <f>SUMIF(매출순위!$J$4:$J$14,C9,매출순위!$L$4:$L$14)</f>
        <v>0</v>
      </c>
      <c r="I9" s="19" t="str">
        <f t="shared" si="0"/>
        <v>0</v>
      </c>
      <c r="J9" s="24"/>
      <c r="K9" s="24"/>
      <c r="L9" s="24"/>
      <c r="M9" s="24"/>
      <c r="N9" s="24"/>
    </row>
    <row r="10" spans="2:14" ht="13.5" customHeight="1" x14ac:dyDescent="0.3">
      <c r="B10" s="25" t="s">
        <v>33</v>
      </c>
      <c r="C10" s="23"/>
      <c r="D10" s="19">
        <f t="shared" si="1"/>
        <v>0</v>
      </c>
      <c r="E10" s="19">
        <f t="shared" si="2"/>
        <v>0</v>
      </c>
      <c r="F10" s="24"/>
      <c r="G10" s="19">
        <f>SUMIF(매출순위!$J$4:$J$14,C10,매출순위!$K$4:$K$14)</f>
        <v>0</v>
      </c>
      <c r="H10" s="19">
        <f>SUMIF(매출순위!$J$4:$J$14,C10,매출순위!$L$4:$L$14)</f>
        <v>0</v>
      </c>
      <c r="I10" s="19" t="str">
        <f t="shared" si="0"/>
        <v>0</v>
      </c>
      <c r="J10" s="24"/>
      <c r="K10" s="24"/>
      <c r="L10" s="24"/>
      <c r="M10" s="24"/>
      <c r="N10" s="24"/>
    </row>
    <row r="11" spans="2:14" ht="13.5" customHeight="1" x14ac:dyDescent="0.3">
      <c r="B11" s="25" t="s">
        <v>33</v>
      </c>
      <c r="C11" s="23"/>
      <c r="D11" s="19">
        <f t="shared" si="1"/>
        <v>0</v>
      </c>
      <c r="E11" s="19">
        <f>(F11+I11+J11+K11+L11+M11+N11)</f>
        <v>0</v>
      </c>
      <c r="F11" s="24"/>
      <c r="G11" s="19">
        <f>SUMIF(매출순위!$J$4:$J$14,C11,매출순위!$K$4:$K$14)</f>
        <v>0</v>
      </c>
      <c r="H11" s="19">
        <f>SUMIF(매출순위!$J$4:$J$14,C11,매출순위!$L$4:$L$14)</f>
        <v>0</v>
      </c>
      <c r="I11" s="19" t="str">
        <f t="shared" si="0"/>
        <v>0</v>
      </c>
      <c r="J11" s="24"/>
      <c r="K11" s="24"/>
      <c r="L11" s="24"/>
      <c r="M11" s="24"/>
      <c r="N11" s="24"/>
    </row>
    <row r="12" spans="2:14" ht="13.5" customHeight="1" x14ac:dyDescent="0.3">
      <c r="B12" s="25" t="s">
        <v>33</v>
      </c>
      <c r="C12" s="23"/>
      <c r="D12" s="19">
        <f t="shared" si="1"/>
        <v>0</v>
      </c>
      <c r="E12" s="19">
        <f t="shared" si="2"/>
        <v>0</v>
      </c>
      <c r="F12" s="24"/>
      <c r="G12" s="19">
        <f>SUMIF(매출순위!$J$4:$J$14,C12,매출순위!$K$4:$K$14)</f>
        <v>0</v>
      </c>
      <c r="H12" s="19">
        <f>SUMIF(매출순위!$J$4:$J$14,C12,매출순위!$L$4:$L$14)</f>
        <v>0</v>
      </c>
      <c r="I12" s="19" t="str">
        <f t="shared" si="0"/>
        <v>0</v>
      </c>
      <c r="J12" s="24"/>
      <c r="K12" s="24"/>
      <c r="L12" s="24"/>
      <c r="M12" s="24"/>
      <c r="N12" s="24"/>
    </row>
    <row r="13" spans="2:14" ht="13.5" customHeight="1" x14ac:dyDescent="0.3">
      <c r="B13" s="25" t="s">
        <v>20</v>
      </c>
      <c r="C13" s="23"/>
      <c r="D13" s="19">
        <f t="shared" si="1"/>
        <v>0</v>
      </c>
      <c r="E13" s="19">
        <f t="shared" si="2"/>
        <v>0</v>
      </c>
      <c r="F13" s="24"/>
      <c r="G13" s="19">
        <f>SUMIF(매출순위!$J$4:$J$14,C13,매출순위!$K$4:$K$14)</f>
        <v>0</v>
      </c>
      <c r="H13" s="19">
        <f>SUMIF(매출순위!$J$4:$J$14,C13,매출순위!$L$4:$L$14)</f>
        <v>0</v>
      </c>
      <c r="I13" s="19" t="str">
        <f t="shared" si="0"/>
        <v>0</v>
      </c>
      <c r="J13" s="24"/>
      <c r="K13" s="24"/>
      <c r="L13" s="24"/>
      <c r="M13" s="24"/>
      <c r="N13" s="24"/>
    </row>
    <row r="14" spans="2:14" ht="13.5" customHeight="1" x14ac:dyDescent="0.3">
      <c r="B14" s="25" t="s">
        <v>20</v>
      </c>
      <c r="C14" s="23"/>
      <c r="D14" s="19">
        <f t="shared" ref="D14:D15" si="3">E14*0.967</f>
        <v>0</v>
      </c>
      <c r="E14" s="19">
        <f t="shared" ref="E14:E15" si="4">(F14+I14+J14+K14+L14+M14+N14)</f>
        <v>0</v>
      </c>
      <c r="F14" s="24"/>
      <c r="G14" s="19">
        <f>SUMIF(매출순위!$J$4:$J$14,C14,매출순위!$K$4:$K$14)</f>
        <v>0</v>
      </c>
      <c r="H14" s="19">
        <f>SUMIF(매출순위!$J$4:$J$14,C14,매출순위!$L$4:$L$14)</f>
        <v>0</v>
      </c>
      <c r="I14" s="19" t="str">
        <f t="shared" si="0"/>
        <v>0</v>
      </c>
      <c r="J14" s="24"/>
      <c r="K14" s="24"/>
      <c r="L14" s="24"/>
      <c r="M14" s="24"/>
      <c r="N14" s="24"/>
    </row>
    <row r="15" spans="2:14" ht="13.5" customHeight="1" x14ac:dyDescent="0.3">
      <c r="B15" s="25" t="s">
        <v>20</v>
      </c>
      <c r="C15" s="23"/>
      <c r="D15" s="19">
        <f t="shared" si="3"/>
        <v>0</v>
      </c>
      <c r="E15" s="19">
        <f t="shared" si="4"/>
        <v>0</v>
      </c>
      <c r="F15" s="24"/>
      <c r="G15" s="19">
        <f>SUMIF(매출순위!$J$4:$J$14,C15,매출순위!$K$4:$K$14)</f>
        <v>0</v>
      </c>
      <c r="H15" s="19">
        <f>SUMIF(매출순위!$J$4:$J$14,C15,매출순위!$L$4:$L$14)</f>
        <v>0</v>
      </c>
      <c r="I15" s="19" t="str">
        <f t="shared" si="0"/>
        <v>0</v>
      </c>
      <c r="J15" s="24"/>
      <c r="K15" s="24"/>
      <c r="L15" s="24"/>
      <c r="M15" s="24"/>
      <c r="N15" s="24"/>
    </row>
    <row r="16" spans="2:14" ht="13.5" customHeight="1" x14ac:dyDescent="0.3">
      <c r="B16" s="25" t="s">
        <v>20</v>
      </c>
      <c r="C16" s="23"/>
      <c r="D16" s="19">
        <f t="shared" si="1"/>
        <v>0</v>
      </c>
      <c r="E16" s="19">
        <f t="shared" si="2"/>
        <v>0</v>
      </c>
      <c r="F16" s="24"/>
      <c r="G16" s="19">
        <f>SUMIF(매출순위!$J$4:$J$14,C16,매출순위!$K$4:$K$14)</f>
        <v>0</v>
      </c>
      <c r="H16" s="19">
        <f>SUMIF(매출순위!$J$4:$J$14,C16,매출순위!$L$4:$L$14)</f>
        <v>0</v>
      </c>
      <c r="I16" s="19" t="str">
        <f t="shared" si="0"/>
        <v>0</v>
      </c>
      <c r="J16" s="24"/>
      <c r="K16" s="24"/>
      <c r="L16" s="24"/>
      <c r="M16" s="24"/>
      <c r="N16" s="24"/>
    </row>
    <row r="17" spans="2:14" ht="13.5" customHeight="1" x14ac:dyDescent="0.3">
      <c r="B17" s="25" t="s">
        <v>20</v>
      </c>
      <c r="C17" s="23"/>
      <c r="D17" s="19">
        <f t="shared" si="1"/>
        <v>0</v>
      </c>
      <c r="E17" s="19">
        <f t="shared" si="2"/>
        <v>0</v>
      </c>
      <c r="F17" s="24"/>
      <c r="G17" s="19">
        <f>SUMIF(매출순위!$J$4:$J$14,C17,매출순위!$K$4:$K$14)</f>
        <v>0</v>
      </c>
      <c r="H17" s="19">
        <f>SUMIF(매출순위!$J$4:$J$14,C17,매출순위!$L$4:$L$14)</f>
        <v>0</v>
      </c>
      <c r="I17" s="19" t="str">
        <f t="shared" si="0"/>
        <v>0</v>
      </c>
      <c r="J17" s="24"/>
      <c r="K17" s="24"/>
      <c r="L17" s="24"/>
      <c r="M17" s="24"/>
      <c r="N17" s="24"/>
    </row>
    <row r="18" spans="2:14" ht="13.5" customHeight="1" x14ac:dyDescent="0.3">
      <c r="B18" s="25" t="s">
        <v>39</v>
      </c>
      <c r="C18" s="23"/>
      <c r="D18" s="19">
        <f t="shared" si="1"/>
        <v>0</v>
      </c>
      <c r="E18" s="19">
        <f t="shared" si="2"/>
        <v>0</v>
      </c>
      <c r="F18" s="24"/>
      <c r="G18" s="19">
        <f>SUMIF(매출순위!$J$4:$J$14,C18,매출순위!$K$4:$K$14)</f>
        <v>0</v>
      </c>
      <c r="H18" s="19">
        <f>SUMIF(매출순위!$J$4:$J$14,C18,매출순위!$L$4:$L$14)</f>
        <v>0</v>
      </c>
      <c r="I18" s="19" t="str">
        <f t="shared" ref="I18:I19" si="5">IFERROR(ROUNDDOWN(H18/G18*100,0)*5000,"0")</f>
        <v>0</v>
      </c>
      <c r="J18" s="24"/>
      <c r="K18" s="24"/>
      <c r="L18" s="24"/>
      <c r="M18" s="24"/>
      <c r="N18" s="24"/>
    </row>
    <row r="19" spans="2:14" ht="13.5" customHeight="1" x14ac:dyDescent="0.3">
      <c r="B19" s="25" t="s">
        <v>39</v>
      </c>
      <c r="C19" s="23"/>
      <c r="D19" s="19">
        <f t="shared" si="1"/>
        <v>0</v>
      </c>
      <c r="E19" s="19">
        <f t="shared" si="2"/>
        <v>0</v>
      </c>
      <c r="F19" s="24"/>
      <c r="G19" s="19">
        <f>SUMIF(매출순위!$J$4:$J$14,C19,매출순위!$K$4:$K$14)</f>
        <v>0</v>
      </c>
      <c r="H19" s="19">
        <f>SUMIF(매출순위!$J$4:$J$14,C19,매출순위!$L$4:$L$14)</f>
        <v>0</v>
      </c>
      <c r="I19" s="19" t="str">
        <f t="shared" si="5"/>
        <v>0</v>
      </c>
      <c r="J19" s="24"/>
      <c r="K19" s="24"/>
      <c r="L19" s="24"/>
      <c r="M19" s="24"/>
      <c r="N19" s="24"/>
    </row>
    <row r="20" spans="2:14" ht="13.5" customHeight="1" x14ac:dyDescent="0.3">
      <c r="B20" s="25" t="s">
        <v>69</v>
      </c>
      <c r="C20" s="23"/>
      <c r="D20" s="19">
        <f>F20*(1.104)</f>
        <v>0</v>
      </c>
      <c r="E20" s="19">
        <f>F20*(1.104)</f>
        <v>0</v>
      </c>
      <c r="F20" s="24"/>
      <c r="G20" s="19"/>
      <c r="H20" s="19"/>
      <c r="I20" s="19"/>
      <c r="J20" s="24"/>
      <c r="K20" s="24"/>
      <c r="L20" s="24"/>
      <c r="M20" s="24"/>
      <c r="N20" s="24"/>
    </row>
    <row r="21" spans="2:14" ht="13.5" customHeight="1" x14ac:dyDescent="0.3">
      <c r="B21" s="25" t="s">
        <v>69</v>
      </c>
      <c r="C21" s="23"/>
      <c r="D21" s="19">
        <f>F21*(1.104)</f>
        <v>0</v>
      </c>
      <c r="E21" s="19">
        <f>F21*(1.104)</f>
        <v>0</v>
      </c>
      <c r="F21" s="24"/>
      <c r="G21" s="19"/>
      <c r="H21" s="19"/>
      <c r="I21" s="19"/>
      <c r="J21" s="24"/>
      <c r="K21" s="24"/>
      <c r="L21" s="24"/>
      <c r="M21" s="24"/>
      <c r="N21" s="24"/>
    </row>
    <row r="22" spans="2:14" ht="13.5" customHeight="1" x14ac:dyDescent="0.3">
      <c r="B22" s="25" t="s">
        <v>69</v>
      </c>
      <c r="C22" s="23"/>
      <c r="D22" s="19">
        <f>F22*(1.104)</f>
        <v>0</v>
      </c>
      <c r="E22" s="19">
        <f>F22*(1.104)</f>
        <v>0</v>
      </c>
      <c r="F22" s="24"/>
      <c r="G22" s="19"/>
      <c r="H22" s="19"/>
      <c r="I22" s="19"/>
      <c r="J22" s="24"/>
      <c r="K22" s="24"/>
      <c r="L22" s="24"/>
      <c r="M22" s="24"/>
      <c r="N22" s="24"/>
    </row>
    <row r="23" spans="2:14" ht="13.5" customHeight="1" x14ac:dyDescent="0.3">
      <c r="B23" s="25" t="s">
        <v>69</v>
      </c>
      <c r="C23" s="23"/>
      <c r="D23" s="19">
        <f>F23*(1.104)</f>
        <v>0</v>
      </c>
      <c r="E23" s="19">
        <f>F23*(1.104)</f>
        <v>0</v>
      </c>
      <c r="F23" s="24"/>
      <c r="G23" s="19"/>
      <c r="H23" s="19"/>
      <c r="I23" s="19"/>
      <c r="J23" s="24"/>
      <c r="K23" s="24"/>
      <c r="L23" s="24"/>
      <c r="M23" s="24"/>
      <c r="N23" s="24"/>
    </row>
    <row r="24" spans="2:14" ht="13.5" customHeight="1" x14ac:dyDescent="0.3">
      <c r="B24" s="25" t="s">
        <v>47</v>
      </c>
      <c r="C24" s="23"/>
      <c r="D24" s="19">
        <f>F24*1.015</f>
        <v>0</v>
      </c>
      <c r="E24" s="19">
        <f>F24*1.015</f>
        <v>0</v>
      </c>
      <c r="F24" s="24"/>
      <c r="G24" s="19"/>
      <c r="H24" s="19"/>
      <c r="I24" s="19"/>
      <c r="J24" s="24"/>
      <c r="K24" s="24"/>
      <c r="L24" s="24"/>
      <c r="M24" s="24"/>
      <c r="N24" s="24"/>
    </row>
    <row r="25" spans="2:14" ht="13.5" customHeight="1" x14ac:dyDescent="0.3">
      <c r="B25" s="25" t="s">
        <v>47</v>
      </c>
      <c r="C25" s="23"/>
      <c r="D25" s="19">
        <f>F25*1.015</f>
        <v>0</v>
      </c>
      <c r="E25" s="19">
        <f>F25*1.015</f>
        <v>0</v>
      </c>
      <c r="F25" s="24"/>
      <c r="G25" s="19"/>
      <c r="H25" s="19"/>
      <c r="I25" s="19"/>
      <c r="J25" s="24"/>
      <c r="K25" s="24"/>
      <c r="L25" s="24"/>
      <c r="M25" s="24"/>
      <c r="N25" s="24"/>
    </row>
    <row r="26" spans="2:14" ht="13.5" customHeight="1" x14ac:dyDescent="0.3">
      <c r="B26" s="25" t="s">
        <v>47</v>
      </c>
      <c r="C26" s="23"/>
      <c r="D26" s="19">
        <f>F26*1.015</f>
        <v>0</v>
      </c>
      <c r="E26" s="19">
        <f>F26*1.015</f>
        <v>0</v>
      </c>
      <c r="F26" s="24"/>
      <c r="G26" s="19"/>
      <c r="H26" s="19"/>
      <c r="I26" s="19"/>
      <c r="J26" s="24"/>
      <c r="K26" s="24"/>
      <c r="L26" s="24"/>
      <c r="M26" s="24"/>
      <c r="N26" s="24"/>
    </row>
    <row r="27" spans="2:14" ht="13.5" customHeight="1" x14ac:dyDescent="0.3">
      <c r="B27" s="25" t="s">
        <v>47</v>
      </c>
      <c r="C27" s="23"/>
      <c r="D27" s="19">
        <f>F27*1.015</f>
        <v>0</v>
      </c>
      <c r="E27" s="19">
        <f>F27*1.015</f>
        <v>0</v>
      </c>
      <c r="F27" s="24"/>
      <c r="G27" s="19"/>
      <c r="H27" s="19"/>
      <c r="I27" s="19"/>
      <c r="J27" s="24"/>
      <c r="K27" s="24"/>
      <c r="L27" s="24"/>
      <c r="M27" s="24"/>
      <c r="N27" s="24"/>
    </row>
    <row r="28" spans="2:14" ht="13.5" customHeight="1" x14ac:dyDescent="0.3">
      <c r="B28" s="25" t="s">
        <v>82</v>
      </c>
      <c r="C28" s="23"/>
      <c r="D28" s="19">
        <f t="shared" si="1"/>
        <v>0</v>
      </c>
      <c r="E28" s="19">
        <f t="shared" si="2"/>
        <v>0</v>
      </c>
      <c r="F28" s="24"/>
      <c r="G28" s="19"/>
      <c r="H28" s="19"/>
      <c r="I28" s="19"/>
      <c r="J28" s="24"/>
      <c r="K28" s="24"/>
      <c r="L28" s="24"/>
      <c r="M28" s="24"/>
      <c r="N28" s="24"/>
    </row>
    <row r="29" spans="2:14" ht="13.5" customHeight="1" x14ac:dyDescent="0.3">
      <c r="B29" s="25" t="s">
        <v>82</v>
      </c>
      <c r="C29" s="23"/>
      <c r="D29" s="19">
        <f t="shared" si="1"/>
        <v>0</v>
      </c>
      <c r="E29" s="19">
        <f t="shared" si="2"/>
        <v>0</v>
      </c>
      <c r="F29" s="24"/>
      <c r="G29" s="19"/>
      <c r="H29" s="19"/>
      <c r="I29" s="19"/>
      <c r="J29" s="24"/>
      <c r="K29" s="24"/>
      <c r="L29" s="24"/>
      <c r="M29" s="24"/>
      <c r="N29" s="24"/>
    </row>
    <row r="30" spans="2:14" ht="13.5" customHeight="1" x14ac:dyDescent="0.3">
      <c r="B30" s="25" t="s">
        <v>82</v>
      </c>
      <c r="C30" s="23"/>
      <c r="D30" s="19">
        <f t="shared" si="1"/>
        <v>0</v>
      </c>
      <c r="E30" s="19">
        <f t="shared" si="2"/>
        <v>0</v>
      </c>
      <c r="F30" s="24"/>
      <c r="G30" s="19"/>
      <c r="H30" s="19"/>
      <c r="I30" s="19"/>
      <c r="J30" s="24"/>
      <c r="K30" s="24"/>
      <c r="L30" s="24"/>
      <c r="M30" s="24"/>
      <c r="N30" s="24"/>
    </row>
    <row r="31" spans="2:14" ht="13.5" customHeight="1" x14ac:dyDescent="0.3">
      <c r="B31" s="25" t="s">
        <v>32</v>
      </c>
      <c r="C31" s="23"/>
      <c r="D31" s="19">
        <f t="shared" si="1"/>
        <v>0</v>
      </c>
      <c r="E31" s="19">
        <f t="shared" si="2"/>
        <v>0</v>
      </c>
      <c r="F31" s="24"/>
      <c r="G31" s="19"/>
      <c r="H31" s="19"/>
      <c r="I31" s="19"/>
      <c r="J31" s="24"/>
      <c r="K31" s="24"/>
      <c r="L31" s="24"/>
      <c r="M31" s="24"/>
      <c r="N31" s="24"/>
    </row>
    <row r="32" spans="2:14" ht="13.5" customHeight="1" x14ac:dyDescent="0.3">
      <c r="B32" s="25" t="s">
        <v>32</v>
      </c>
      <c r="C32" s="23"/>
      <c r="D32" s="19">
        <f t="shared" si="1"/>
        <v>0</v>
      </c>
      <c r="E32" s="19">
        <f t="shared" si="2"/>
        <v>0</v>
      </c>
      <c r="F32" s="24"/>
      <c r="G32" s="19"/>
      <c r="H32" s="19"/>
      <c r="I32" s="19"/>
      <c r="J32" s="24"/>
      <c r="K32" s="24"/>
      <c r="L32" s="24"/>
      <c r="M32" s="24"/>
      <c r="N32" s="24"/>
    </row>
    <row r="33" spans="2:14" ht="13.5" customHeight="1" x14ac:dyDescent="0.3">
      <c r="B33" s="25" t="s">
        <v>32</v>
      </c>
      <c r="C33" s="23"/>
      <c r="D33" s="19">
        <f t="shared" si="1"/>
        <v>0</v>
      </c>
      <c r="E33" s="19">
        <f t="shared" si="2"/>
        <v>0</v>
      </c>
      <c r="F33" s="24"/>
      <c r="G33" s="19"/>
      <c r="H33" s="19"/>
      <c r="I33" s="19"/>
      <c r="J33" s="24"/>
      <c r="K33" s="24"/>
      <c r="L33" s="24"/>
      <c r="M33" s="24"/>
      <c r="N33" s="24"/>
    </row>
    <row r="34" spans="2:14" ht="13.5" customHeight="1" x14ac:dyDescent="0.3">
      <c r="B34" s="25" t="s">
        <v>32</v>
      </c>
      <c r="C34" s="23"/>
      <c r="D34" s="19">
        <f t="shared" si="1"/>
        <v>0</v>
      </c>
      <c r="E34" s="19">
        <f t="shared" si="2"/>
        <v>0</v>
      </c>
      <c r="F34" s="24"/>
      <c r="G34" s="19"/>
      <c r="H34" s="19"/>
      <c r="I34" s="19"/>
      <c r="J34" s="24"/>
      <c r="K34" s="24"/>
      <c r="L34" s="24"/>
      <c r="M34" s="24"/>
      <c r="N34" s="24"/>
    </row>
    <row r="35" spans="2:14" ht="13.5" customHeight="1" x14ac:dyDescent="0.3"/>
    <row r="36" spans="2:14" ht="13.5" customHeight="1" x14ac:dyDescent="0.3"/>
    <row r="37" spans="2:14" ht="13.5" customHeight="1" x14ac:dyDescent="0.3">
      <c r="B37" s="17"/>
      <c r="C37" s="25" t="s">
        <v>59</v>
      </c>
      <c r="D37" s="25" t="s">
        <v>11</v>
      </c>
      <c r="E37" s="25" t="s">
        <v>17</v>
      </c>
      <c r="F37" s="25" t="s">
        <v>23</v>
      </c>
      <c r="G37" s="25" t="s">
        <v>56</v>
      </c>
      <c r="H37" s="25" t="s">
        <v>64</v>
      </c>
      <c r="I37" s="25" t="s">
        <v>55</v>
      </c>
      <c r="J37" s="25" t="s">
        <v>9</v>
      </c>
      <c r="K37" s="25" t="s">
        <v>26</v>
      </c>
      <c r="L37" s="25" t="s">
        <v>24</v>
      </c>
      <c r="M37" s="25" t="s">
        <v>21</v>
      </c>
      <c r="N37" s="25" t="s">
        <v>82</v>
      </c>
    </row>
    <row r="38" spans="2:14" ht="13.5" customHeight="1" x14ac:dyDescent="0.3">
      <c r="B38" s="25" t="s">
        <v>72</v>
      </c>
      <c r="C38" s="23"/>
      <c r="D38" s="19">
        <f>E38*0.967</f>
        <v>0</v>
      </c>
      <c r="E38" s="19">
        <f>(F38+G38+I38+J38+K38+L38+M38+N38)</f>
        <v>0</v>
      </c>
      <c r="F38" s="24"/>
      <c r="G38" s="24"/>
      <c r="H38" s="19"/>
      <c r="I38" s="19"/>
      <c r="J38" s="24"/>
      <c r="K38" s="24"/>
      <c r="L38" s="24"/>
      <c r="M38" s="24"/>
      <c r="N38" s="24"/>
    </row>
    <row r="39" spans="2:14" ht="13.5" customHeight="1" x14ac:dyDescent="0.3">
      <c r="B39" s="25" t="s">
        <v>45</v>
      </c>
      <c r="C39" s="23"/>
      <c r="D39" s="19">
        <f t="shared" ref="D39:D72" si="6">E39*0.967</f>
        <v>0</v>
      </c>
      <c r="E39" s="19">
        <f t="shared" ref="E39:E68" si="7">(F39+G39+I39+J39+K39+L39+M39+N39)</f>
        <v>0</v>
      </c>
      <c r="F39" s="24"/>
      <c r="G39" s="24"/>
      <c r="H39" s="19"/>
      <c r="I39" s="19"/>
      <c r="J39" s="24"/>
      <c r="K39" s="24"/>
      <c r="L39" s="24"/>
      <c r="M39" s="24"/>
      <c r="N39" s="24"/>
    </row>
    <row r="40" spans="2:14" ht="13.5" customHeight="1" x14ac:dyDescent="0.3">
      <c r="B40" s="25" t="s">
        <v>25</v>
      </c>
      <c r="C40" s="23"/>
      <c r="D40" s="19">
        <f t="shared" si="6"/>
        <v>0</v>
      </c>
      <c r="E40" s="19">
        <f t="shared" si="7"/>
        <v>0</v>
      </c>
      <c r="F40" s="24"/>
      <c r="G40" s="24"/>
      <c r="H40" s="19">
        <f>SUMIF(매출순위!$D$4:$D$24,C40,매출순위!$E$4:$E$24)</f>
        <v>0</v>
      </c>
      <c r="I40" s="19">
        <f t="shared" ref="I40:I59" si="8">(H40*0.9)*0.1</f>
        <v>0</v>
      </c>
      <c r="J40" s="24"/>
      <c r="K40" s="24"/>
      <c r="L40" s="24"/>
      <c r="M40" s="24"/>
      <c r="N40" s="24"/>
    </row>
    <row r="41" spans="2:14" ht="13.5" customHeight="1" x14ac:dyDescent="0.3">
      <c r="B41" s="25" t="s">
        <v>25</v>
      </c>
      <c r="C41" s="23"/>
      <c r="D41" s="19">
        <f t="shared" si="6"/>
        <v>0</v>
      </c>
      <c r="E41" s="19">
        <f t="shared" si="7"/>
        <v>0</v>
      </c>
      <c r="F41" s="24"/>
      <c r="G41" s="24"/>
      <c r="H41" s="19">
        <f>SUMIF(매출순위!$D$4:$D$24,C41,매출순위!$E$4:$E$24)</f>
        <v>0</v>
      </c>
      <c r="I41" s="19">
        <f t="shared" si="8"/>
        <v>0</v>
      </c>
      <c r="J41" s="24"/>
      <c r="K41" s="24"/>
      <c r="L41" s="24"/>
      <c r="M41" s="24"/>
      <c r="N41" s="24"/>
    </row>
    <row r="42" spans="2:14" ht="13.5" customHeight="1" x14ac:dyDescent="0.3">
      <c r="B42" s="25" t="s">
        <v>43</v>
      </c>
      <c r="C42" s="28"/>
      <c r="D42" s="19">
        <f t="shared" si="6"/>
        <v>0</v>
      </c>
      <c r="E42" s="19">
        <f t="shared" si="7"/>
        <v>0</v>
      </c>
      <c r="F42" s="24"/>
      <c r="G42" s="24"/>
      <c r="H42" s="19">
        <f>SUMIF(매출순위!$D$4:$D$24,C42,매출순위!$E$4:$E$24)</f>
        <v>0</v>
      </c>
      <c r="I42" s="19">
        <f>IF(H42&lt;7000000,H42*90%*10%,IF(H42&lt;10000000,H42*90%*11%,IF(H42&lt;15000000,H42*90%*12%,IF(15000000&lt;=H42,H42*90%*13%))))</f>
        <v>0</v>
      </c>
      <c r="J42" s="24"/>
      <c r="K42" s="24"/>
      <c r="L42" s="24"/>
      <c r="M42" s="24"/>
      <c r="N42" s="24"/>
    </row>
    <row r="43" spans="2:14" ht="13.5" customHeight="1" x14ac:dyDescent="0.3">
      <c r="B43" s="25" t="s">
        <v>43</v>
      </c>
      <c r="C43" s="28"/>
      <c r="D43" s="19">
        <f t="shared" si="6"/>
        <v>0</v>
      </c>
      <c r="E43" s="19">
        <f t="shared" si="7"/>
        <v>0</v>
      </c>
      <c r="F43" s="24"/>
      <c r="G43" s="24"/>
      <c r="H43" s="19">
        <f>SUMIF(매출순위!$D$4:$D$24,C43,매출순위!$E$4:$E$24)</f>
        <v>0</v>
      </c>
      <c r="I43" s="19">
        <f>IF(H43&lt;7000000,H43*90%*10%,IF(H43&lt;10000000,H43*90%*11%,IF(H43&lt;15000000,H43*90%*12%,IF(15000000&lt;=H43,H43*90%*13%))))</f>
        <v>0</v>
      </c>
      <c r="J43" s="24"/>
      <c r="K43" s="24"/>
      <c r="L43" s="24"/>
      <c r="M43" s="24"/>
      <c r="N43" s="24"/>
    </row>
    <row r="44" spans="2:14" ht="13.5" customHeight="1" x14ac:dyDescent="0.3">
      <c r="B44" s="25" t="s">
        <v>43</v>
      </c>
      <c r="C44" s="23"/>
      <c r="D44" s="19">
        <f t="shared" si="6"/>
        <v>0</v>
      </c>
      <c r="E44" s="19">
        <f t="shared" si="7"/>
        <v>0</v>
      </c>
      <c r="F44" s="24"/>
      <c r="G44" s="24"/>
      <c r="H44" s="19">
        <f>SUMIF(매출순위!$D$4:$D$24,C44,매출순위!$E$4:$E$24)</f>
        <v>0</v>
      </c>
      <c r="I44" s="19">
        <f>IF(H44&lt;7000000,H44*90%*10%,IF(H44&lt;10000000,H44*90%*11%,IF(H44&lt;15000000,H44*90%*12%,IF(15000000&lt;=H44,H44*90%*13%))))</f>
        <v>0</v>
      </c>
      <c r="J44" s="24"/>
      <c r="K44" s="24"/>
      <c r="L44" s="24"/>
      <c r="M44" s="24"/>
      <c r="N44" s="24"/>
    </row>
    <row r="45" spans="2:14" ht="13.5" customHeight="1" x14ac:dyDescent="0.3">
      <c r="B45" s="25" t="s">
        <v>43</v>
      </c>
      <c r="C45" s="23"/>
      <c r="D45" s="19">
        <f t="shared" si="6"/>
        <v>0</v>
      </c>
      <c r="E45" s="19">
        <f t="shared" si="7"/>
        <v>0</v>
      </c>
      <c r="F45" s="24"/>
      <c r="G45" s="24"/>
      <c r="H45" s="19">
        <f>SUMIF(매출순위!$D$4:$D$24,C45,매출순위!$E$4:$E$24)</f>
        <v>0</v>
      </c>
      <c r="I45" s="19">
        <f>IF(H45&lt;7000000,H45*90%*10%,IF(H45&lt;10000000,H45*90%*11%,IF(H45&lt;15000000,H45*90%*12%,IF(15000000&lt;=H45,H45*90%*13%))))</f>
        <v>0</v>
      </c>
      <c r="J45" s="24"/>
      <c r="K45" s="24"/>
      <c r="L45" s="24"/>
      <c r="M45" s="24"/>
      <c r="N45" s="24"/>
    </row>
    <row r="46" spans="2:14" ht="13.5" customHeight="1" x14ac:dyDescent="0.3">
      <c r="B46" s="25" t="s">
        <v>43</v>
      </c>
      <c r="C46" s="23"/>
      <c r="D46" s="19">
        <f t="shared" si="6"/>
        <v>0</v>
      </c>
      <c r="E46" s="19">
        <f t="shared" si="7"/>
        <v>0</v>
      </c>
      <c r="F46" s="24"/>
      <c r="G46" s="24"/>
      <c r="H46" s="19">
        <f>SUMIF(매출순위!$D$4:$D$24,C46,매출순위!$E$4:$E$24)</f>
        <v>0</v>
      </c>
      <c r="I46" s="19">
        <f>IF(H46&lt;7000000,H46*90%*10%,IF(H46&lt;10000000,H46*90%*11%,IF(H46&lt;15000000,H46*90%*12%,IF(15000000&lt;=H46,H46*90%*13%))))</f>
        <v>0</v>
      </c>
      <c r="J46" s="24"/>
      <c r="K46" s="24"/>
      <c r="L46" s="24"/>
      <c r="M46" s="24"/>
      <c r="N46" s="24"/>
    </row>
    <row r="47" spans="2:14" ht="13.5" customHeight="1" x14ac:dyDescent="0.3">
      <c r="B47" s="25" t="s">
        <v>29</v>
      </c>
      <c r="C47" s="28"/>
      <c r="D47" s="19">
        <f t="shared" si="6"/>
        <v>0</v>
      </c>
      <c r="E47" s="19">
        <f t="shared" si="7"/>
        <v>0</v>
      </c>
      <c r="F47" s="24"/>
      <c r="G47" s="24"/>
      <c r="H47" s="19">
        <f>SUMIF(매출순위!$D$4:$D$24,C47,매출순위!$E$4:$E$24)</f>
        <v>0</v>
      </c>
      <c r="I47" s="19">
        <f t="shared" si="8"/>
        <v>0</v>
      </c>
      <c r="J47" s="24"/>
      <c r="K47" s="24"/>
      <c r="L47" s="24"/>
      <c r="M47" s="24"/>
      <c r="N47" s="24"/>
    </row>
    <row r="48" spans="2:14" ht="13.5" customHeight="1" x14ac:dyDescent="0.3">
      <c r="B48" s="25" t="s">
        <v>29</v>
      </c>
      <c r="C48" s="28"/>
      <c r="D48" s="19">
        <f t="shared" si="6"/>
        <v>0</v>
      </c>
      <c r="E48" s="19">
        <f t="shared" si="7"/>
        <v>0</v>
      </c>
      <c r="F48" s="24"/>
      <c r="G48" s="24"/>
      <c r="H48" s="19">
        <f>SUMIF(매출순위!$D$4:$D$24,C48,매출순위!$E$4:$E$24)</f>
        <v>0</v>
      </c>
      <c r="I48" s="19">
        <f t="shared" si="8"/>
        <v>0</v>
      </c>
      <c r="J48" s="24"/>
      <c r="K48" s="24"/>
      <c r="L48" s="24"/>
      <c r="M48" s="24"/>
      <c r="N48" s="24"/>
    </row>
    <row r="49" spans="2:14" ht="13.5" customHeight="1" x14ac:dyDescent="0.3">
      <c r="B49" s="25" t="s">
        <v>29</v>
      </c>
      <c r="C49" s="28"/>
      <c r="D49" s="19">
        <f t="shared" si="6"/>
        <v>0</v>
      </c>
      <c r="E49" s="19">
        <f t="shared" si="7"/>
        <v>0</v>
      </c>
      <c r="F49" s="24"/>
      <c r="G49" s="24"/>
      <c r="H49" s="19">
        <f>SUMIF(매출순위!$D$4:$D$24,C49,매출순위!$E$4:$E$24)</f>
        <v>0</v>
      </c>
      <c r="I49" s="19">
        <f t="shared" si="8"/>
        <v>0</v>
      </c>
      <c r="J49" s="24"/>
      <c r="K49" s="24"/>
      <c r="L49" s="24"/>
      <c r="M49" s="24"/>
      <c r="N49" s="24"/>
    </row>
    <row r="50" spans="2:14" ht="13.5" customHeight="1" x14ac:dyDescent="0.3">
      <c r="B50" s="25" t="s">
        <v>29</v>
      </c>
      <c r="C50" s="28"/>
      <c r="D50" s="19">
        <f t="shared" si="6"/>
        <v>0</v>
      </c>
      <c r="E50" s="19">
        <f t="shared" si="7"/>
        <v>0</v>
      </c>
      <c r="F50" s="24"/>
      <c r="G50" s="24"/>
      <c r="H50" s="19">
        <f>SUMIF(매출순위!$D$4:$D$24,C50,매출순위!$E$4:$E$24)</f>
        <v>0</v>
      </c>
      <c r="I50" s="19">
        <f t="shared" si="8"/>
        <v>0</v>
      </c>
      <c r="J50" s="24"/>
      <c r="K50" s="24"/>
      <c r="L50" s="24"/>
      <c r="M50" s="24"/>
      <c r="N50" s="24"/>
    </row>
    <row r="51" spans="2:14" ht="13.5" customHeight="1" x14ac:dyDescent="0.3">
      <c r="B51" s="25" t="s">
        <v>29</v>
      </c>
      <c r="C51" s="28"/>
      <c r="D51" s="19">
        <f t="shared" si="6"/>
        <v>0</v>
      </c>
      <c r="E51" s="19">
        <f t="shared" si="7"/>
        <v>0</v>
      </c>
      <c r="F51" s="24"/>
      <c r="G51" s="24"/>
      <c r="H51" s="19">
        <f>SUMIF(매출순위!$D$4:$D$24,C51,매출순위!$E$4:$E$24)</f>
        <v>0</v>
      </c>
      <c r="I51" s="19">
        <f t="shared" si="8"/>
        <v>0</v>
      </c>
      <c r="J51" s="24"/>
      <c r="K51" s="24"/>
      <c r="L51" s="24"/>
      <c r="M51" s="24"/>
      <c r="N51" s="24"/>
    </row>
    <row r="52" spans="2:14" ht="13.5" customHeight="1" x14ac:dyDescent="0.3">
      <c r="B52" s="25" t="s">
        <v>29</v>
      </c>
      <c r="C52" s="23"/>
      <c r="D52" s="19">
        <f t="shared" si="6"/>
        <v>0</v>
      </c>
      <c r="E52" s="19">
        <f>(F52+G52+I52+J52+K52+L52+M52+N52)</f>
        <v>0</v>
      </c>
      <c r="F52" s="24"/>
      <c r="G52" s="24"/>
      <c r="H52" s="19">
        <f>SUMIF(매출순위!$D$4:$D$24,C52,매출순위!$E$4:$E$24)</f>
        <v>0</v>
      </c>
      <c r="I52" s="19">
        <f t="shared" si="8"/>
        <v>0</v>
      </c>
      <c r="J52" s="24"/>
      <c r="K52" s="24"/>
      <c r="L52" s="24"/>
      <c r="M52" s="24"/>
      <c r="N52" s="24"/>
    </row>
    <row r="53" spans="2:14" ht="13.5" customHeight="1" x14ac:dyDescent="0.3">
      <c r="B53" s="25" t="s">
        <v>29</v>
      </c>
      <c r="C53" s="23"/>
      <c r="D53" s="19">
        <f t="shared" si="6"/>
        <v>0</v>
      </c>
      <c r="E53" s="19">
        <f>(F53+G53+I53+J53+K53+L53+M53+N53)</f>
        <v>0</v>
      </c>
      <c r="F53" s="24"/>
      <c r="G53" s="24"/>
      <c r="H53" s="19">
        <f>SUMIF(매출순위!$D$4:$D$24,C53,매출순위!$E$4:$E$24)</f>
        <v>0</v>
      </c>
      <c r="I53" s="19">
        <f t="shared" si="8"/>
        <v>0</v>
      </c>
      <c r="J53" s="24"/>
      <c r="K53" s="24"/>
      <c r="L53" s="24"/>
      <c r="M53" s="24"/>
      <c r="N53" s="24"/>
    </row>
    <row r="54" spans="2:14" ht="13.5" customHeight="1" x14ac:dyDescent="0.3">
      <c r="B54" s="25" t="s">
        <v>29</v>
      </c>
      <c r="C54" s="23"/>
      <c r="D54" s="19">
        <f t="shared" si="6"/>
        <v>0</v>
      </c>
      <c r="E54" s="19">
        <f t="shared" si="7"/>
        <v>0</v>
      </c>
      <c r="F54" s="24"/>
      <c r="G54" s="24"/>
      <c r="H54" s="19">
        <f>SUMIF(매출순위!$D$4:$D$24,C54,매출순위!$E$4:$E$24)</f>
        <v>0</v>
      </c>
      <c r="I54" s="19">
        <f t="shared" si="8"/>
        <v>0</v>
      </c>
      <c r="J54" s="24"/>
      <c r="K54" s="24"/>
      <c r="L54" s="24"/>
      <c r="M54" s="24"/>
      <c r="N54" s="24"/>
    </row>
    <row r="55" spans="2:14" ht="13.5" customHeight="1" x14ac:dyDescent="0.3">
      <c r="B55" s="25" t="s">
        <v>29</v>
      </c>
      <c r="C55" s="23"/>
      <c r="D55" s="19">
        <f t="shared" si="6"/>
        <v>0</v>
      </c>
      <c r="E55" s="19">
        <f t="shared" si="7"/>
        <v>0</v>
      </c>
      <c r="F55" s="24"/>
      <c r="G55" s="24"/>
      <c r="H55" s="19">
        <f>SUMIF(매출순위!$D$4:$D$24,C55,매출순위!$E$4:$E$24)</f>
        <v>0</v>
      </c>
      <c r="I55" s="19">
        <f t="shared" si="8"/>
        <v>0</v>
      </c>
      <c r="J55" s="24"/>
      <c r="K55" s="24"/>
      <c r="L55" s="24"/>
      <c r="M55" s="24"/>
      <c r="N55" s="24"/>
    </row>
    <row r="56" spans="2:14" ht="13.5" customHeight="1" x14ac:dyDescent="0.3">
      <c r="B56" s="25" t="s">
        <v>29</v>
      </c>
      <c r="C56" s="23"/>
      <c r="D56" s="19">
        <f t="shared" si="6"/>
        <v>0</v>
      </c>
      <c r="E56" s="19">
        <f t="shared" si="7"/>
        <v>0</v>
      </c>
      <c r="F56" s="24"/>
      <c r="G56" s="24"/>
      <c r="H56" s="19">
        <f>SUMIF(매출순위!$D$4:$D$24,C56,매출순위!$E$4:$E$24)</f>
        <v>0</v>
      </c>
      <c r="I56" s="19">
        <f t="shared" si="8"/>
        <v>0</v>
      </c>
      <c r="J56" s="24"/>
      <c r="K56" s="24"/>
      <c r="L56" s="24"/>
      <c r="M56" s="24"/>
      <c r="N56" s="24"/>
    </row>
    <row r="57" spans="2:14" ht="13.5" customHeight="1" x14ac:dyDescent="0.3">
      <c r="B57" s="25" t="s">
        <v>29</v>
      </c>
      <c r="C57" s="23"/>
      <c r="D57" s="19">
        <f t="shared" si="6"/>
        <v>0</v>
      </c>
      <c r="E57" s="19">
        <f t="shared" si="7"/>
        <v>0</v>
      </c>
      <c r="F57" s="24"/>
      <c r="G57" s="24"/>
      <c r="H57" s="19">
        <f>SUMIF(매출순위!$D$4:$D$24,C57,매출순위!$E$4:$E$24)</f>
        <v>0</v>
      </c>
      <c r="I57" s="19">
        <f t="shared" si="8"/>
        <v>0</v>
      </c>
      <c r="J57" s="24"/>
      <c r="K57" s="24"/>
      <c r="L57" s="24"/>
      <c r="M57" s="24"/>
      <c r="N57" s="24"/>
    </row>
    <row r="58" spans="2:14" ht="13.5" customHeight="1" x14ac:dyDescent="0.3">
      <c r="B58" s="25" t="s">
        <v>29</v>
      </c>
      <c r="C58" s="23"/>
      <c r="D58" s="19">
        <f t="shared" si="6"/>
        <v>0</v>
      </c>
      <c r="E58" s="19">
        <f t="shared" si="7"/>
        <v>0</v>
      </c>
      <c r="F58" s="24"/>
      <c r="G58" s="24"/>
      <c r="H58" s="19">
        <f>SUMIF(매출순위!$D$4:$D$24,C58,매출순위!$E$4:$E$24)</f>
        <v>0</v>
      </c>
      <c r="I58" s="19">
        <f t="shared" si="8"/>
        <v>0</v>
      </c>
      <c r="J58" s="24"/>
      <c r="K58" s="24"/>
      <c r="L58" s="24"/>
      <c r="M58" s="24"/>
      <c r="N58" s="24"/>
    </row>
    <row r="59" spans="2:14" ht="13.5" customHeight="1" x14ac:dyDescent="0.3">
      <c r="B59" s="25" t="s">
        <v>29</v>
      </c>
      <c r="C59" s="23"/>
      <c r="D59" s="19">
        <f t="shared" si="6"/>
        <v>0</v>
      </c>
      <c r="E59" s="19">
        <f t="shared" si="7"/>
        <v>0</v>
      </c>
      <c r="F59" s="24"/>
      <c r="G59" s="24"/>
      <c r="H59" s="19">
        <f>SUMIF(매출순위!$D$4:$D$24,C59,매출순위!$E$4:$E$24)</f>
        <v>0</v>
      </c>
      <c r="I59" s="19">
        <f t="shared" si="8"/>
        <v>0</v>
      </c>
      <c r="J59" s="24"/>
      <c r="K59" s="24"/>
      <c r="L59" s="24"/>
      <c r="M59" s="24"/>
      <c r="N59" s="24"/>
    </row>
    <row r="60" spans="2:14" ht="13.5" customHeight="1" x14ac:dyDescent="0.3">
      <c r="B60" s="25" t="s">
        <v>15</v>
      </c>
      <c r="C60" s="28"/>
      <c r="D60" s="19">
        <f t="shared" si="6"/>
        <v>0</v>
      </c>
      <c r="E60" s="19">
        <f>(F60+G60+J60+K60+L60+M60+N60)</f>
        <v>0</v>
      </c>
      <c r="F60" s="24"/>
      <c r="G60" s="24"/>
      <c r="H60" s="19">
        <f>SUMIF(매출순위!$D$4:$D$24,C60,매출순위!$E$4:$E$24)</f>
        <v>0</v>
      </c>
      <c r="I60" s="19">
        <f>(H60*0.9)*0.1*0.5</f>
        <v>0</v>
      </c>
      <c r="J60" s="24"/>
      <c r="K60" s="24"/>
      <c r="L60" s="24"/>
      <c r="M60" s="24"/>
      <c r="N60" s="24"/>
    </row>
    <row r="61" spans="2:14" ht="13.5" customHeight="1" x14ac:dyDescent="0.3">
      <c r="B61" s="25" t="s">
        <v>15</v>
      </c>
      <c r="C61" s="23"/>
      <c r="D61" s="19">
        <f t="shared" si="6"/>
        <v>0</v>
      </c>
      <c r="E61" s="19">
        <f>(F61+G61+J61+K61+L61+M61+N61)</f>
        <v>0</v>
      </c>
      <c r="F61" s="24"/>
      <c r="G61" s="24"/>
      <c r="H61" s="19">
        <f>SUMIF(매출순위!$D$4:$D$24,C61,매출순위!$E$4:$E$24)</f>
        <v>0</v>
      </c>
      <c r="I61" s="19">
        <f>(H61*0.9)*0.1*0.5</f>
        <v>0</v>
      </c>
      <c r="J61" s="24"/>
      <c r="K61" s="24"/>
      <c r="L61" s="24"/>
      <c r="M61" s="24"/>
      <c r="N61" s="24"/>
    </row>
    <row r="62" spans="2:14" ht="13.5" customHeight="1" x14ac:dyDescent="0.3">
      <c r="B62" s="25" t="s">
        <v>15</v>
      </c>
      <c r="C62" s="23"/>
      <c r="D62" s="19">
        <f t="shared" si="6"/>
        <v>0</v>
      </c>
      <c r="E62" s="19">
        <f>(F62+G62+J62+K62+L62+M62+N62)</f>
        <v>0</v>
      </c>
      <c r="F62" s="24"/>
      <c r="G62" s="24"/>
      <c r="H62" s="19">
        <f>SUMIF(매출순위!$D$4:$D$24,C62,매출순위!$E$4:$E$24)</f>
        <v>0</v>
      </c>
      <c r="I62" s="19">
        <f>(H62*0.9)*0.1*0.5</f>
        <v>0</v>
      </c>
      <c r="J62" s="24"/>
      <c r="K62" s="24"/>
      <c r="L62" s="24"/>
      <c r="M62" s="24"/>
      <c r="N62" s="24"/>
    </row>
    <row r="63" spans="2:14" ht="13.5" customHeight="1" x14ac:dyDescent="0.3">
      <c r="B63" s="25" t="s">
        <v>15</v>
      </c>
      <c r="C63" s="23"/>
      <c r="D63" s="19">
        <f t="shared" si="6"/>
        <v>0</v>
      </c>
      <c r="E63" s="19">
        <f>(F63+G63+J63+K63+L63+M63+N63)</f>
        <v>0</v>
      </c>
      <c r="F63" s="24"/>
      <c r="G63" s="24"/>
      <c r="H63" s="19">
        <f>SUMIF(매출순위!$D$4:$D$24,C63,매출순위!$E$4:$E$24)</f>
        <v>0</v>
      </c>
      <c r="I63" s="19">
        <f>(H63*0.9)*0.1*0.5</f>
        <v>0</v>
      </c>
      <c r="J63" s="24"/>
      <c r="K63" s="24"/>
      <c r="L63" s="24"/>
      <c r="M63" s="24"/>
      <c r="N63" s="24"/>
    </row>
    <row r="64" spans="2:14" ht="13.5" customHeight="1" x14ac:dyDescent="0.3">
      <c r="B64" s="25" t="s">
        <v>82</v>
      </c>
      <c r="C64" s="23"/>
      <c r="D64" s="19">
        <f>E64*0.967</f>
        <v>0</v>
      </c>
      <c r="E64" s="19">
        <f t="shared" si="7"/>
        <v>0</v>
      </c>
      <c r="F64" s="24"/>
      <c r="G64" s="24"/>
      <c r="H64" s="19"/>
      <c r="I64" s="19"/>
      <c r="J64" s="24"/>
      <c r="K64" s="24"/>
      <c r="L64" s="24"/>
      <c r="M64" s="24"/>
      <c r="N64" s="24"/>
    </row>
    <row r="65" spans="2:14" ht="13.5" customHeight="1" x14ac:dyDescent="0.3">
      <c r="B65" s="25" t="s">
        <v>82</v>
      </c>
      <c r="C65" s="23"/>
      <c r="D65" s="19">
        <f>E65*0.967</f>
        <v>0</v>
      </c>
      <c r="E65" s="19">
        <f t="shared" si="7"/>
        <v>0</v>
      </c>
      <c r="F65" s="24"/>
      <c r="G65" s="24"/>
      <c r="H65" s="19"/>
      <c r="I65" s="19"/>
      <c r="J65" s="24"/>
      <c r="K65" s="24"/>
      <c r="L65" s="24"/>
      <c r="M65" s="24"/>
      <c r="N65" s="24"/>
    </row>
    <row r="66" spans="2:14" ht="13.5" customHeight="1" x14ac:dyDescent="0.3">
      <c r="B66" s="25" t="s">
        <v>82</v>
      </c>
      <c r="C66" s="23"/>
      <c r="D66" s="19">
        <f>E66*0.967</f>
        <v>0</v>
      </c>
      <c r="E66" s="19">
        <f t="shared" si="7"/>
        <v>0</v>
      </c>
      <c r="F66" s="24"/>
      <c r="G66" s="24"/>
      <c r="H66" s="19"/>
      <c r="I66" s="19"/>
      <c r="J66" s="24"/>
      <c r="K66" s="24"/>
      <c r="L66" s="24"/>
      <c r="M66" s="24"/>
      <c r="N66" s="24"/>
    </row>
    <row r="67" spans="2:14" ht="13.5" customHeight="1" x14ac:dyDescent="0.3">
      <c r="B67" s="25" t="s">
        <v>82</v>
      </c>
      <c r="C67" s="23"/>
      <c r="D67" s="19">
        <f>E67*0.967</f>
        <v>0</v>
      </c>
      <c r="E67" s="19">
        <f t="shared" si="7"/>
        <v>0</v>
      </c>
      <c r="F67" s="24"/>
      <c r="G67" s="24"/>
      <c r="H67" s="19"/>
      <c r="I67" s="19"/>
      <c r="J67" s="24"/>
      <c r="K67" s="24"/>
      <c r="L67" s="24"/>
      <c r="M67" s="24"/>
      <c r="N67" s="24"/>
    </row>
    <row r="68" spans="2:14" ht="13.5" customHeight="1" x14ac:dyDescent="0.3">
      <c r="B68" s="25" t="s">
        <v>82</v>
      </c>
      <c r="C68" s="23"/>
      <c r="D68" s="19">
        <f>E68*0.967</f>
        <v>0</v>
      </c>
      <c r="E68" s="19">
        <f t="shared" si="7"/>
        <v>0</v>
      </c>
      <c r="F68" s="24"/>
      <c r="G68" s="24"/>
      <c r="H68" s="19"/>
      <c r="I68" s="19"/>
      <c r="J68" s="24"/>
      <c r="K68" s="24"/>
      <c r="L68" s="24"/>
      <c r="M68" s="24"/>
      <c r="N68" s="24"/>
    </row>
    <row r="69" spans="2:14" ht="13.5" customHeight="1" x14ac:dyDescent="0.3">
      <c r="B69" s="25" t="s">
        <v>32</v>
      </c>
      <c r="C69" s="23"/>
      <c r="D69" s="19">
        <f t="shared" si="6"/>
        <v>0</v>
      </c>
      <c r="E69" s="19">
        <f>(F69+G69+J69+K69+L69+M69+N69)</f>
        <v>0</v>
      </c>
      <c r="F69" s="24"/>
      <c r="G69" s="24"/>
      <c r="H69" s="19">
        <f>SUMIF(매출순위!$D$5:$D$24,C69,매출순위!$E$5:$E$24)</f>
        <v>0</v>
      </c>
      <c r="I69" s="19">
        <f>(H69*0.9)*0.1*0.5</f>
        <v>0</v>
      </c>
      <c r="J69" s="24"/>
      <c r="K69" s="24"/>
      <c r="L69" s="24"/>
      <c r="M69" s="24"/>
      <c r="N69" s="24"/>
    </row>
    <row r="70" spans="2:14" ht="13.5" customHeight="1" x14ac:dyDescent="0.3">
      <c r="B70" s="25" t="s">
        <v>32</v>
      </c>
      <c r="C70" s="23"/>
      <c r="D70" s="19">
        <f t="shared" si="6"/>
        <v>0</v>
      </c>
      <c r="E70" s="19">
        <f>(F70+G70+J70+K70+L70+M70+N70)</f>
        <v>0</v>
      </c>
      <c r="F70" s="24"/>
      <c r="G70" s="24"/>
      <c r="H70" s="19">
        <f>SUMIF(매출순위!$D$5:$D$24,C70,매출순위!$E$5:$E$24)</f>
        <v>0</v>
      </c>
      <c r="I70" s="19">
        <f>(H70*0.9)*0.1*0.5</f>
        <v>0</v>
      </c>
      <c r="J70" s="24"/>
      <c r="K70" s="24"/>
      <c r="L70" s="24"/>
      <c r="M70" s="24"/>
      <c r="N70" s="24"/>
    </row>
    <row r="71" spans="2:14" ht="13.5" customHeight="1" x14ac:dyDescent="0.3">
      <c r="B71" s="25" t="s">
        <v>32</v>
      </c>
      <c r="C71" s="23"/>
      <c r="D71" s="19">
        <f t="shared" si="6"/>
        <v>0</v>
      </c>
      <c r="E71" s="19">
        <f>(F71+G71+J71+K71+L71+M71+N71)</f>
        <v>0</v>
      </c>
      <c r="F71" s="24"/>
      <c r="G71" s="24"/>
      <c r="H71" s="19">
        <f>SUMIF(매출순위!$D$5:$D$24,C71,매출순위!$E$5:$E$24)</f>
        <v>0</v>
      </c>
      <c r="I71" s="19">
        <f>(H71*0.9)*0.1*0.5</f>
        <v>0</v>
      </c>
      <c r="J71" s="24"/>
      <c r="K71" s="24"/>
      <c r="L71" s="24"/>
      <c r="M71" s="24"/>
      <c r="N71" s="24"/>
    </row>
    <row r="72" spans="2:14" ht="13.5" customHeight="1" x14ac:dyDescent="0.3">
      <c r="B72" s="25" t="s">
        <v>32</v>
      </c>
      <c r="C72" s="23"/>
      <c r="D72" s="19">
        <f t="shared" si="6"/>
        <v>0</v>
      </c>
      <c r="E72" s="19">
        <f>(F72+G72+J72+K72+L72+M72+N72)</f>
        <v>0</v>
      </c>
      <c r="F72" s="24"/>
      <c r="G72" s="24"/>
      <c r="H72" s="19">
        <f>SUMIF(매출순위!$D$5:$D$24,C72,매출순위!$E$5:$E$24)</f>
        <v>0</v>
      </c>
      <c r="I72" s="19">
        <f>(H72*0.9)*0.1*0.5</f>
        <v>0</v>
      </c>
      <c r="J72" s="24"/>
      <c r="K72" s="24"/>
      <c r="L72" s="24"/>
      <c r="M72" s="24"/>
      <c r="N72" s="24"/>
    </row>
  </sheetData>
  <sheetProtection password="EAC7" sheet="1" objects="1" scenarios="1"/>
  <mergeCells count="3">
    <mergeCell ref="B3:N3"/>
    <mergeCell ref="H1:I1"/>
    <mergeCell ref="B1:D1"/>
  </mergeCells>
  <phoneticPr fontId="13" type="noConversion"/>
  <pageMargins left="0.23597222566604614" right="0.23597222566604614" top="0.74750000238418579" bottom="0.35430556535720825" header="0.31486111879348755" footer="0.11777777969837189"/>
  <pageSetup paperSize="9" scale="6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매출</vt:lpstr>
      <vt:lpstr>매출순위</vt:lpstr>
      <vt:lpstr>페이롤</vt:lpstr>
      <vt:lpstr>매출순위!Print_Area</vt:lpstr>
      <vt:lpstr>페이롤!Print_Area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</dc:creator>
  <cp:lastModifiedBy>최성욱</cp:lastModifiedBy>
  <cp:revision>14</cp:revision>
  <cp:lastPrinted>2025-03-04T13:39:06Z</cp:lastPrinted>
  <dcterms:created xsi:type="dcterms:W3CDTF">2012-03-07T10:14:50Z</dcterms:created>
  <dcterms:modified xsi:type="dcterms:W3CDTF">2026-08-20T02:46:23Z</dcterms:modified>
  <cp:version>1100.0100.01</cp:version>
</cp:coreProperties>
</file>